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grade" sheetId="2" state="visible" r:id="rId4"/>
    <sheet name="Progress" sheetId="3" state="visible" r:id="rId5"/>
  </sheets>
  <definedNames>
    <definedName function="false" hidden="true" localSheetId="1" name="_xlnm._FilterDatabase" vbProcedure="false">Regrade!$A$1:$I$115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<sst xmlns="http://schemas.openxmlformats.org/spreadsheetml/2006/main" count="838" uniqueCount="398">
  <si>
    <t xml:space="preserve">Phase 6 Second-Pass Regrade — seed 42</t>
  </si>
  <si>
    <t xml:space="preserve">WHO GRADES: the human owner. Not an AI.</t>
  </si>
  <si>
    <t xml:space="preserve">An earlier seed-123 attempt was graded by an AI and has been invalidated.</t>
  </si>
  <si>
    <t xml:space="preserve">See audits/phase6_invalidation/INVALIDATION_NOTICE.md.</t>
  </si>
  <si>
    <t xml:space="preserve">WHAT TO DO</t>
  </si>
  <si>
    <t xml:space="preserve">1. Open the "Regrade" sheet. There are 114 rows.</t>
  </si>
  <si>
    <t xml:space="preserve">2. For each row read Question, Reference Answer, and Candidate Chunk.</t>
  </si>
  <si>
    <t xml:space="preserve">3. Enter 2, 1, or 0 in the yellow "second_relevance_grade" column.</t>
  </si>
  <si>
    <t xml:space="preserve">4. Enter a short justification in "second_rationale".</t>
  </si>
  <si>
    <t xml:space="preserve">5. Save the file, then tell Claude the path.</t>
  </si>
  <si>
    <t xml:space="preserve">GRADING RUBRIC</t>
  </si>
  <si>
    <t xml:space="preserve">2 = Chunk directly states the fact the reference answer asserts.</t>
  </si>
  <si>
    <t xml:space="preserve">1 = Chunk is on the correct scheme and useful, but does not state the fact alone.</t>
  </si>
  <si>
    <t xml:space="preserve">0 = Wrong scheme, irrelevant, or misleading.</t>
  </si>
  <si>
    <t xml:space="preserve">U = Unjudgeable. Use sparingly; every U must be resolved before qrels freeze.</t>
  </si>
  <si>
    <t xml:space="preserve">IMPORTANT — THIS IS A BLIND SECOND PASS</t>
  </si>
  <si>
    <t xml:space="preserve">Your first-pass grades are sealed in regrade_provenance_sealed_seed42.json.</t>
  </si>
  <si>
    <t xml:space="preserve">Do not open that file before finishing. Grade each row on its own merits.</t>
  </si>
  <si>
    <t xml:space="preserve">Disagreement with your first pass is expected and is the point of the exercise.</t>
  </si>
  <si>
    <t xml:space="preserve">DO NOT EDIT the grey protected columns. They are compared byte-for-byte on return.</t>
  </si>
  <si>
    <t xml:space="preserve">display_id</t>
  </si>
  <si>
    <t xml:space="preserve">query_id</t>
  </si>
  <si>
    <t xml:space="preserve">question</t>
  </si>
  <si>
    <t xml:space="preserve">reference_answer</t>
  </si>
  <si>
    <t xml:space="preserve">chunk_id</t>
  </si>
  <si>
    <t xml:space="preserve">source_document_title</t>
  </si>
  <si>
    <t xml:space="preserve">candidate_chunk</t>
  </si>
  <si>
    <t xml:space="preserve">second_relevance_grade</t>
  </si>
  <si>
    <t xml:space="preserve">second_rationale</t>
  </si>
  <si>
    <t xml:space="preserve">v2q-001-candidate-07</t>
  </si>
  <si>
    <t xml:space="preserve">v2q-001</t>
  </si>
  <si>
    <t xml:space="preserve">What is the minimum house size specified under PMAY-G?</t>
  </si>
  <si>
    <t xml:space="preserve">The minimum house size is 25 square metres, including a dedicated hygienic cooking area.</t>
  </si>
  <si>
    <t xml:space="preserve">pilot-v2-doc-pmay-g-0001-db2db8af1543</t>
  </si>
  <si>
    <t xml:space="preserve">Pradhan Mantri Awaas Yojana - Gramin</t>
  </si>
  <si>
    <t xml:space="preserve">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</si>
  <si>
    <t xml:space="preserve">v2q-002-candidate-03</t>
  </si>
  <si>
    <t xml:space="preserve">v2q-002</t>
  </si>
  <si>
    <t xml:space="preserve">What maximum premium rates can farmers pay under PMFBY for Kharif, Rabi, and annual commercial or horticultural crops?</t>
  </si>
  <si>
    <t xml:space="preserve">Farmers pay at most 2% for Kharif food and oilseed crops, 1.5% for Rabi food and oilseed crops, and 5% for annual commercial or horticultural crops.</t>
  </si>
  <si>
    <t xml:space="preserve">pilot-v2-doc-pmfby-0002-5c46025b568d</t>
  </si>
  <si>
    <t xml:space="preserve">Pradhan Mantri Fasal Bima Yojna (PMFBY)</t>
  </si>
  <si>
    <t xml:space="preserve">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</si>
  <si>
    <t xml:space="preserve">v2q-002-candidate-05</t>
  </si>
  <si>
    <t xml:space="preserve">pilot-v2-doc-pm-kmy-guidelines-0006-2652020c834e</t>
  </si>
  <si>
    <t xml:space="preserve">Pradhan Mantri Kisan Maan Dhan Yojana Operational Guidelines</t>
  </si>
  <si>
    <t xml:space="preserve">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 age of entry of the farmers into the Scheme, as per
        the following contribution chart:
             Superannuation  Member's         Government’s       Total contribution
 Entry Age           Age               contribution (Rs.)   contribution (Rs.)   (Rs.)
    (1)           (2)              (3)               (4)                (5)
        18              60               55               55               110
        19              60               58               58               116
        20              60               61               61               122
        21              60               64               64               128
        22              60               68               68               136
        23              60               72               72               144
        24              60               76               76               152
        25              60               80               80               160
        26              60               85               85               170
        27              60               90               90               180
        28              60               95               95               190
        29              60              100              100               200
        30              60              105              105               210
        31              60              110              110               220
        32              60              120              120               240
        33              60              130              130               260
        34              60              140              140               280
        35              60              150              150               300
        36              60              160              160               320
        37              60              170              170               340
        38              60              180              180               360
        39              60              190              190               380
        40              60              200              200               400
(xi)   In case of death of subscriber before vesting date, the spouse of subscriber shall
have an option of continuing the scheme by payment of remaining contributions under
the scheme, provided she/he 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t>
  </si>
  <si>
    <t xml:space="preserve">v2q-002-candidate-08</t>
  </si>
  <si>
    <t xml:space="preserve">pilot-v2-doc-pmfby-0003-5aa41e0f864d</t>
  </si>
  <si>
    <t xml:space="preserve">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 Non-payment of premiums can result in the cancellation of insurance..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t>
  </si>
  <si>
    <t xml:space="preserve">v2q-002-candidate-10</t>
  </si>
  <si>
    <t xml:space="preserve">pilot-v2-doc-pmfby-0001-4270154049cc</t>
  </si>
  <si>
    <t xml:space="preserve">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</si>
  <si>
    <t xml:space="preserve">v2q-002-candidate-22</t>
  </si>
  <si>
    <t xml:space="preserve">pilot-v2-doc-apy-0001-add48d27a4a2</t>
  </si>
  <si>
    <t xml:space="preserve">Atal Pension Yojana</t>
  </si>
  <si>
    <t xml:space="preserve">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</si>
  <si>
    <t xml:space="preserve">v2q-002-candidate-24</t>
  </si>
  <si>
    <t xml:space="preserve">pilot-v2-doc-ab-pmjay-0001-a632a7205efc</t>
  </si>
  <si>
    <t xml:space="preserve">Ayushman Bharat - Pradhan Mantri Jan Arogya Yojana</t>
  </si>
  <si>
    <t xml:space="preserve">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</si>
  <si>
    <t xml:space="preserve">v2q-003-candidate-10</t>
  </si>
  <si>
    <t xml:space="preserve">v2q-003</t>
  </si>
  <si>
    <t xml:space="preserve">What revised overdraft limit and RuPay accidental-insurance cover are stated for PMJDY?</t>
  </si>
  <si>
    <t xml:space="preserve">PMJDY states a revised overdraft limit of ₹10,000 and accidental-insurance cover of ₹2 lakh for RuPay cardholders.</t>
  </si>
  <si>
    <t xml:space="preserve">pilot-v2-doc-pmjdy-0000-8b241ec39723</t>
  </si>
  <si>
    <t xml:space="preserve">Pradhan Mantri Jan Dhan Yojana</t>
  </si>
  <si>
    <t xml:space="preserve">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</si>
  <si>
    <t xml:space="preserve">v2q-003-candidate-20</t>
  </si>
  <si>
    <t xml:space="preserve">pilot-v2-doc-ab-pmjay-0002-58c80bb24a6c</t>
  </si>
  <si>
    <t xml:space="preserve">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</si>
  <si>
    <t xml:space="preserve">v2q-003-candidate-24</t>
  </si>
  <si>
    <t xml:space="preserve">pilot-v2-doc-ab-pmjay-0000-94c82a474579</t>
  </si>
  <si>
    <t xml:space="preserve">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</si>
  <si>
    <t xml:space="preserve">v2q-004-candidate-01</t>
  </si>
  <si>
    <t xml:space="preserve">v2q-004</t>
  </si>
  <si>
    <t xml:space="preserve">What is the maximum micro-loan amount stated for PMMY?</t>
  </si>
  <si>
    <t xml:space="preserve">PMMY facilitates micro-credit loans up to ₹20 lakh for eligible income-generating micro-enterprises.</t>
  </si>
  <si>
    <t xml:space="preserve">v2q-004-candidate-08</t>
  </si>
  <si>
    <t xml:space="preserve">pilot-v2-doc-pmegp-0001-f900b4f4f97a</t>
  </si>
  <si>
    <t xml:space="preserve">Prime Minister's Employment Generation Programme</t>
  </si>
  <si>
    <t xml:space="preserve">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</si>
  <si>
    <t xml:space="preserve">v2q-004-candidate-09</t>
  </si>
  <si>
    <t xml:space="preserve">pilot-v2-doc-pmmy-0000-70a89ee32765</t>
  </si>
  <si>
    <t xml:space="preserve">Pradhan Mantri Mudra Yojana</t>
  </si>
  <si>
    <t xml:space="preserve">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</si>
  <si>
    <t xml:space="preserve">v2q-004-candidate-17</t>
  </si>
  <si>
    <t xml:space="preserve">pilot-v2-doc-pmjjby-0000-47f7bb620cd4</t>
  </si>
  <si>
    <t xml:space="preserve">Pradhan Mantri Jeevan Jyoti Bima Yojana</t>
  </si>
  <si>
    <t xml:space="preserve">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</si>
  <si>
    <t xml:space="preserve">v2q-004-candidate-22</t>
  </si>
  <si>
    <t xml:space="preserve">pilot-v2-doc-apy-0003-68e7199c9d14</t>
  </si>
  <si>
    <t xml:space="preserve">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</si>
  <si>
    <t xml:space="preserve">v2q-004-candidate-23</t>
  </si>
  <si>
    <t xml:space="preserve">pilot-v2-doc-apy-0002-66a5cc4017fb</t>
  </si>
  <si>
    <t xml:space="preserve">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</si>
  <si>
    <t xml:space="preserve">v2q-005-candidate-03</t>
  </si>
  <si>
    <t xml:space="preserve">v2q-005</t>
  </si>
  <si>
    <t xml:space="preserve">How many days of wage employment does MGNREGA guarantee a rural household in a financial year?</t>
  </si>
  <si>
    <t xml:space="preserve">MGNREGA guarantees at least 100 days of wage employment per financial year to a rural household whose adult members volunteer for unskilled work.</t>
  </si>
  <si>
    <t xml:space="preserve">pilot-v2-doc-pm-kisan-guidelines-0014-ba6fddd38f9c</t>
  </si>
  <si>
    <t xml:space="preserve">PM-KISAN Operational Guidelines</t>
  </si>
  <si>
    <t xml:space="preserve">financial benefits to the eligible farmers,
Aadhaar number shall be collected for all beneficiaries, since payment of all installments
pertaining to the trimester December, 2019 – March, 2020 onwards shall be done only
on the basis of Aadhaar seeded data base. However, exemption has been to the States
of Assam, Meghalaya and Jammu &amp; Kashmir from the requirement of Aadhaar number
and Aadhaar seeded database under the scheme till 31.3.2021. In the meantime these
States will complete Aadhaar enrolment so that subsequent installments are released
on the basis of Aadhaar seeded data only. States / UTs shall ensure that there is no
duplication of the payment transferred to eligible families.
10.3  The funds pertaining to income support benefit as well as administrative charges
shall be released from Government  of India  to the States’ designated account  /
mechanism.   The  benefit  shall be  transferred by Government  of  India  to  the
beneficiaries through a mechanism wherein district wise beneficiaries’  lists shall be
                                         10
certified and uploaded by the States  / UTs and the funds  will be  electronically
transferred via State Notional Account [similar to Mahatma Gandhi National Rural
Employment Guarantee Scheme (MNREGS)] to the beneficiaries’ bank accounts on the
basis of their account numbers and IFSC codes. However, where the states verify that
Aadhaar linked accounts are not the loan accounts of beneficiaries, the Aadhaar linked
payment system can be adopted. However, from the December, 2019 – March, 2020
trimester onwards the States shall have to ensure Aadhaar linked bank accounts of the
beneficiaries, except in case of Assam, Meghalaya and Jammu &amp; Kashmir, which have
been given exemption  till the 31st March, 2021. For ease of implementation the States
may consider assigning the job of sponsoring bank for the scheme to the same bank
being used by concerned State for MGNREGS.
10.4</t>
  </si>
  <si>
    <t xml:space="preserve">v2q-005-candidate-07</t>
  </si>
  <si>
    <t xml:space="preserve">v2q-005-candidate-08</t>
  </si>
  <si>
    <t xml:space="preserve">pilot-v2-doc-mgnrega-0000-7e6d80b47566</t>
  </si>
  <si>
    <t xml:space="preserve">Mahatma Gandhi National Rural Employment Guarantee Act</t>
  </si>
  <si>
    <t xml:space="preserve">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</si>
  <si>
    <t xml:space="preserve">v2q-005-candidate-18</t>
  </si>
  <si>
    <t xml:space="preserve">pilot-v2-doc-ab-pmjay-0003-1242266bb260</t>
  </si>
  <si>
    <t xml:space="preserve">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</si>
  <si>
    <t xml:space="preserve">v2q-006-candidate-07</t>
  </si>
  <si>
    <t xml:space="preserve">v2q-006</t>
  </si>
  <si>
    <t xml:space="preserve">What annual hospitalisation cover does AB-PMJAY provide per eligible family?</t>
  </si>
  <si>
    <t xml:space="preserve">AB-PMJAY provides cashless hospitalisation cover of ₹5 lakh per family per year for secondary and tertiary healthcare.</t>
  </si>
  <si>
    <t xml:space="preserve">pilot-v2-doc-pmegp-0003-43256e8e6645</t>
  </si>
  <si>
    <t xml:space="preserve">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</si>
  <si>
    <t xml:space="preserve">v2q-006-candidate-22</t>
  </si>
  <si>
    <t xml:space="preserve">pilot-v2-doc-pmay-g-0000-d4162175877d</t>
  </si>
  <si>
    <t xml:space="preserve">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</si>
  <si>
    <t xml:space="preserve">v2q-006-candidate-26</t>
  </si>
  <si>
    <t xml:space="preserve">pilot-v2-doc-pm-gkay-0001-ccd31e120258</t>
  </si>
  <si>
    <t xml:space="preserve">Pradhan Mantri Garib Kalyan Anna Yojana</t>
  </si>
  <si>
    <t xml:space="preserve">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</si>
  <si>
    <t xml:space="preserve">v2q-007-candidate-11</t>
  </si>
  <si>
    <t xml:space="preserve">v2q-007</t>
  </si>
  <si>
    <t xml:space="preserve">What is the full form of PMJJBY, and which event does its life insurance cover?</t>
  </si>
  <si>
    <t xml:space="preserve">PMJJBY stands for Pradhan Mantri Jeevan Jyoti Bima Yojana and provides life-insurance cover for death due to any reason.</t>
  </si>
  <si>
    <t xml:space="preserve">pilot-v2-doc-pm-kmy-guidelines-0018-67494b680dda</t>
  </si>
  <si>
    <t xml:space="preserve">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 benefits under the Scheme shall be payable only in India.
Should anything contained in these guidelines, or in any amendment made thereof be
repugnant to any provisions of the Income Tax Act, 1961 or the Income Tax Rules, 1962,
it shall be ineffective to the extent of such repugnance, any such repugnance in so far as
it relates to Income Tax Act 1961 and the Rules there under shall be removed by the
DAC&amp;FW.
                                              12
16.  DEDUCTION OF SUMS DUE TO INCOME TAX AUTHORITIES:
Income Tax: In any case where the DAC&amp;FW or the Corporation is liable to account to
the Income Tax Authorities for Income Tax on any payments due under the Scheme, the
Corporation shall deduct a sum equal to the tax from such payment and shall not be
liable to the subscribers for the sum so deducted.
17.  NOMINATION:
(a)    Every  Subscriber  shall  appoint  spouse  or  dependants  as  Beneficiary  or
Beneficiaries under the Scheme to receive the benefits hereunder in the event of the
death of the subscriber.
(b)   Every appointment / nomination to be made under 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t>
  </si>
  <si>
    <t xml:space="preserve">v2q-007-candidate-15</t>
  </si>
  <si>
    <t xml:space="preserve">pilot-v2-doc-pmfby-0000-d9ad07736d66</t>
  </si>
  <si>
    <t xml:space="preserve">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</si>
  <si>
    <t xml:space="preserve">v2q-007-candidate-18</t>
  </si>
  <si>
    <t xml:space="preserve">pilot-v2-doc-pm-gkay-0000-c29b96f46a80</t>
  </si>
  <si>
    <t xml:space="preserve">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</si>
  <si>
    <t xml:space="preserve">v2q-007-candidate-19</t>
  </si>
  <si>
    <t xml:space="preserve">pilot-v2-doc-pm-kmy-guidelines-0020-27037b9fe8a1</t>
  </si>
  <si>
    <t xml:space="preserve">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</si>
  <si>
    <t xml:space="preserve">v2q-007-candidate-27</t>
  </si>
  <si>
    <t xml:space="preserve">v2q-008-candidate-20</t>
  </si>
  <si>
    <t xml:space="preserve">v2q-008</t>
  </si>
  <si>
    <t xml:space="preserve">Which accident-insurance programme is abbreviated PMSBY, and which outcomes trigger its cover?</t>
  </si>
  <si>
    <t xml:space="preserve">PMSBY stands for Pradhan Mantri Suraksha Bima Yojana and covers accidental death and disability.</t>
  </si>
  <si>
    <t xml:space="preserve">v2q-009-candidate-01</t>
  </si>
  <si>
    <t xml:space="preserve">v2q-009</t>
  </si>
  <si>
    <t xml:space="preserve">What does APY stand for, and what monthly pension range does it guarantee after age 60?</t>
  </si>
  <si>
    <t xml:space="preserve">APY stands for Atal Pension Yojana and offers guaranteed monthly pension options from ₹1,000 to ₹5,000 after age 60.</t>
  </si>
  <si>
    <t xml:space="preserve">pilot-v2-doc-pm-kmy-guidelines-0002-ae644e1f8c00</t>
  </si>
  <si>
    <t xml:space="preserve">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</si>
  <si>
    <t xml:space="preserve">v2q-009-candidate-12</t>
  </si>
  <si>
    <t xml:space="preserve">v2q-009-candidate-14</t>
  </si>
  <si>
    <t xml:space="preserve">v2q-009-candidate-15</t>
  </si>
  <si>
    <t xml:space="preserve">v2q-009-candidate-18</t>
  </si>
  <si>
    <t xml:space="preserve">v2q-009-candidate-21</t>
  </si>
  <si>
    <t xml:space="preserve">pilot-v2-doc-mgnrega-0002-bbbce5f319d4</t>
  </si>
  <si>
    <t xml:space="preserve">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</si>
  <si>
    <t xml:space="preserve">v2q-009-candidate-22</t>
  </si>
  <si>
    <t xml:space="preserve">v2q-009-candidate-23</t>
  </si>
  <si>
    <t xml:space="preserve">v2q-010-candidate-01</t>
  </si>
  <si>
    <t xml:space="preserve">v2q-010</t>
  </si>
  <si>
    <t xml:space="preserve">What is the full form of PM POSHAN, and what meal benefit does it provide?</t>
  </si>
  <si>
    <t xml:space="preserve">PM POSHAN means Prime Minister's Overarching Scheme for Holistic Nourishment and provides one hot cooked meal to children in government and government-aided schools.</t>
  </si>
  <si>
    <t xml:space="preserve">v2q-010-candidate-06</t>
  </si>
  <si>
    <t xml:space="preserve">pilot-v2-doc-pm-kmy-guidelines-0019-2d8ab840045f</t>
  </si>
  <si>
    <t xml:space="preserve">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 to time or at any time without the consent of the
nominee, if any, revoke or change the nominee by filling a written notice of the change
online or at the CSC in the prescribed form whereupon an acknowledgement of the
change and the registration of the name of the new Nominee  will be given to the
subscriber online / at the CSC. The New appointment shall take effect on the date the
notice  was  signed  whether  or  not  the  subscriber   is  living  on  the  date  of
acknowledgement of the change without prejudice to the Corporation on account of any
payment made before the acknowledgement of the change.
(d)     If a Nominee shall at the time of his appointment be a minor or otherwise under
disability to give a legal receipt or discharge to the LIC the subscriber must at the time of
such appointment as aforesaid appoint a person who is major and who is capable of
giving a legal receipt or discharge to the Corporation and to whom the benefits are to be
paid for and on behalf 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t>
  </si>
  <si>
    <t xml:space="preserve">v2q-010-candidate-07</t>
  </si>
  <si>
    <t xml:space="preserve">pilot-v2-doc-pm-kisan-guidelines-0001-5ad8f250b7e2</t>
  </si>
  <si>
    <t xml:space="preserve">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</si>
  <si>
    <t xml:space="preserve">v2q-010-candidate-11</t>
  </si>
  <si>
    <t xml:space="preserve">pilot-v2-doc-pm-poshan-0001-f1d73701c602</t>
  </si>
  <si>
    <t xml:space="preserve">PM POSHAN - Prime Minister's Overarching Scheme For Holistic Nourishment</t>
  </si>
  <si>
    <t xml:space="preserve">Primary: Calorie – 700; Protein - 20 gms Food norms per child per day: Primary: Food grains - 100 gms; Pulses - 20 gms; Vegetables - 50 gms; Oil &amp; fat - 5 gms, Salt &amp; condiments - As per need. Upper Primary: Food grains - 150 gms; Pulses - 30 gms; Vegetables - 75 gms; Oil &amp; fat – 7.5 gms, Salt &amp; condiments - As per need. Under the Scheme, there is the provision of hot cooked meals to children of pre-schools or Bal Vatika (before class I) in primary schools also in addition to the 11.80 crore children of classes I to VIII studying in 11.20 lakh schools.. The applicant must be a citizen of India. The applicant must be studying in a Primary or Upper Primary class (Class 1st to Class 8th) in a Government or a Government-aided school.. There is no application process for this scheme. PM POSHAN is equally applicable to all children who are studying in Government and Government – aided schools.</t>
  </si>
  <si>
    <t xml:space="preserve">v2q-011-candidate-02</t>
  </si>
  <si>
    <t xml:space="preserve">v2q-011</t>
  </si>
  <si>
    <t xml:space="preserve">What does PM JANMAN stand for, and which communities does it target?</t>
  </si>
  <si>
    <t xml:space="preserve">PM JANMAN stands for PM Janjati Adivasi Nyaya Maha Abhiyan and targets Particularly Vulnerable Tribal Groups.</t>
  </si>
  <si>
    <t xml:space="preserve">pilot-v2-doc-pm-kmy-guidelines-0004-79b3bf95bb65</t>
  </si>
  <si>
    <t xml:space="preserve">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</si>
  <si>
    <t xml:space="preserve">v2q-011-candidate-04</t>
  </si>
  <si>
    <t xml:space="preserve">v2q-012-candidate-03</t>
  </si>
  <si>
    <t xml:space="preserve">v2q-012</t>
  </si>
  <si>
    <t xml:space="preserve">What does PM SVANidhi stand for, and who is its intended beneficiary group?</t>
  </si>
  <si>
    <t xml:space="preserve">PM SVANidhi stands for PM Street Vendor’s AtmaNirbhar Nidhi and supports street vendors through working-capital and related incentives.</t>
  </si>
  <si>
    <t xml:space="preserve">pilot-v2-doc-pm-kisan-guidelines-0005-7d487843ff7f</t>
  </si>
  <si>
    <t xml:space="preserve">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</si>
  <si>
    <t xml:space="preserve">v2q-012-candidate-04</t>
  </si>
  <si>
    <t xml:space="preserve">v2q-012-candidate-06</t>
  </si>
  <si>
    <t xml:space="preserve">v2q-012-candidate-07</t>
  </si>
  <si>
    <t xml:space="preserve">pilot-v2-doc-pm-kmy-guidelines-0007-64fd9c6362ca</t>
  </si>
  <si>
    <t xml:space="preserve">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 Pension Fund.
(xii)  In case of death of subscriber before vesting date, if the spouse does not exercise
option of continuing under the scheme, then subscribers’ contributions along with fund
                                               5
interest earned or Savings Bank Interest whichever is higher would be payable to the
spouse under the scheme.
(xiii) In case of death of subscriber before vesting date,  if there is no spouse, then
subscribers’ contributions along with fund interest earned or Savings Bank Interest,
whichever  is higher, would be payable to the nominee/s under the scheme. The co-
contributions made by Government along with fund interest earned after adjusting for
difference between Savings Bank Interest payable and fund interest earned, if any will be
credited back to Pension fund of Government.
(xiv)  If a subscriber dies after the date of vesting, his/her spouse shall be entitled to
receive  fifty per cent of the pension received by such  eligible subscriber as Family
Pension, provided she/he is not already an SMF beneficiary of the Scheme, and such
family pension shall be applicable only to the spouse.
(xv)  After death of subscriber as well as of his/her spouse, the corpus  i.e.  total
accumulated contributions made by the subscriber and the Government shall be credited
back to the fund.
(xvi)  The Eligible SMFs desirous of joining the scheme shall  visit nearest Common
Service Centre (CSC) along with his Aadhaar card and bank passbook or account details.
(xvii) The Village Level Entrepreneur (VLE)</t>
  </si>
  <si>
    <t xml:space="preserve">v2q-012-candidate-09</t>
  </si>
  <si>
    <t xml:space="preserve">pilot-v2-doc-pm-svanidhi-0000-f6024bb09ca5</t>
  </si>
  <si>
    <t xml:space="preserve">PM Street Vendor’s AtmaNirbhar Nidhi (PM SVANidhi)</t>
  </si>
  <si>
    <t xml:space="preserve">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</si>
  <si>
    <t xml:space="preserve">v2q-012-candidate-14</t>
  </si>
  <si>
    <t xml:space="preserve">pilot-v2-doc-pmay-u-0001-b64fadc4bf6b</t>
  </si>
  <si>
    <t xml:space="preserve">Pradhan Mantri Awas Yojana - Urban</t>
  </si>
  <si>
    <t xml:space="preserve">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</si>
  <si>
    <t xml:space="preserve">v2q-012-candidate-17</t>
  </si>
  <si>
    <t xml:space="preserve">pilot-v2-doc-pm-svanidhi-0002-280acc14217b</t>
  </si>
  <si>
    <t xml:space="preserve">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</si>
  <si>
    <t xml:space="preserve">v2q-013-candidate-03</t>
  </si>
  <si>
    <t xml:space="preserve">v2q-013</t>
  </si>
  <si>
    <t xml:space="preserve">Which initiative helps women in low-income countryside homes replace smoke-producing solid cooking materials with bottled gas?</t>
  </si>
  <si>
    <t xml:space="preserve">Pradhan Mantri Ujjwala Yojana provides LPG access to rural and deprived households that previously relied on traditional cooking fuels.</t>
  </si>
  <si>
    <t xml:space="preserve">pilot-v2-doc-apy-0000-c43dd88d7899</t>
  </si>
  <si>
    <t xml:space="preserve">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</si>
  <si>
    <t xml:space="preserve">v2q-013-candidate-07</t>
  </si>
  <si>
    <t xml:space="preserve">v2q-014-candidate-10</t>
  </si>
  <si>
    <t xml:space="preserve">v2q-014</t>
  </si>
  <si>
    <t xml:space="preserve">Under the national ration programme, what monthly cereal allocation goes to families in the poorest entitlement tier and to each person in the priority tier?</t>
  </si>
  <si>
    <t xml:space="preserve">AAY families receive 35 kilograms per family per month, while PHH beneficiaries receive 5 kilograms per person per month.</t>
  </si>
  <si>
    <t xml:space="preserve">pilot-v2-doc-pmegp-0000-7b958e1ec4b0</t>
  </si>
  <si>
    <t xml:space="preserve">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</si>
  <si>
    <t xml:space="preserve">v2q-014-candidate-11</t>
  </si>
  <si>
    <t xml:space="preserve">pilot-v2-doc-pmuy-0001-5fd4d0cd2135</t>
  </si>
  <si>
    <t xml:space="preserve">Pradhan Mantri Ujjwala Yojana</t>
  </si>
  <si>
    <t xml:space="preserve">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</si>
  <si>
    <t xml:space="preserve">v2q-014-candidate-20</t>
  </si>
  <si>
    <t xml:space="preserve">v2q-015-candidate-09</t>
  </si>
  <si>
    <t xml:space="preserve">v2q-015</t>
  </si>
  <si>
    <t xml:space="preserve">Which initiative helps job-seekers and established craftspeople launch small businesses outside agriculture?</t>
  </si>
  <si>
    <t xml:space="preserve">The Prime Minister's Employment Generation Programme supports new micro-enterprises to create self-employment for traditional artisans, unemployed youth, and other eligible beneficiaries.</t>
  </si>
  <si>
    <t xml:space="preserve">pilot-v2-doc-pmegp-0004-80f46cce6893</t>
  </si>
  <si>
    <t xml:space="preserve">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</si>
  <si>
    <t xml:space="preserve">v2q-015-candidate-13</t>
  </si>
  <si>
    <t xml:space="preserve">v2q-015-candidate-17</t>
  </si>
  <si>
    <t xml:space="preserve">pilot-v2-doc-pmmy-0002-526833661bcb</t>
  </si>
  <si>
    <t xml:space="preserve">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Fill in Personal Details and Professional Details. Step 02: Select hand-holding agencies if any help is required for preparing project proposals etc., otherwise click &amp;quot;Loan Application Center&amp;quot;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</si>
  <si>
    <t xml:space="preserve">v2q-016-candidate-06</t>
  </si>
  <si>
    <t xml:space="preserve">v2q-016</t>
  </si>
  <si>
    <t xml:space="preserve">How can an experienced worker obtain formal recognition for skills learned outside a training course?</t>
  </si>
  <si>
    <t xml:space="preserve">PMKVY 4.0 Recognition of Prior Learning assesses, upskills, and certifies candidates who already possess relevant skills or prior-learning experience.</t>
  </si>
  <si>
    <t xml:space="preserve">pilot-v2-doc-pmkvy-rpl-0002-a3163111d20f</t>
  </si>
  <si>
    <t xml:space="preserve">Pradhan Mantri Kaushal Vikas Yojana 4.0 - Recognition Of Prior Learning</t>
  </si>
  <si>
    <t xml:space="preserve">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 Mode of disbursement: Funds are transferred directly to the RPL-PIA's bank account through Direct Benefit Transfer (DBT).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The applicant should be an Indian national. The applicant should possess a valid Aadhaar. The applicant should be in the age group of 18 to 59 years. The applicant should be a candidate with prior learning experience or skills, willing to get assessed and certified. The applicant should have prior experience in the job role for which RPL certification is being sought, as specified in the job role. The applicant should fulfil the eligibility criteria of the respective job role.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t>
  </si>
  <si>
    <t xml:space="preserve">v2q-016-candidate-10</t>
  </si>
  <si>
    <t xml:space="preserve">pilot-v2-doc-pmkvy-rpl-0003-9425f5b8529a</t>
  </si>
  <si>
    <t xml:space="preserve">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</si>
  <si>
    <t xml:space="preserve">v2q-016-candidate-13</t>
  </si>
  <si>
    <t xml:space="preserve">pilot-v2-doc-pmkvy-stt-0001-ea2787dec4e8</t>
  </si>
  <si>
    <t xml:space="preserve">Pradhan Mantri Kaushal Vikas Yojana 4.0 - Short-Term Training</t>
  </si>
  <si>
    <t xml:space="preserve">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</si>
  <si>
    <t xml:space="preserve">v2q-016-candidate-16</t>
  </si>
  <si>
    <t xml:space="preserve">pilot-v2-doc-pmkvy-rpl-0001-9ccf0701dcf9</t>
  </si>
  <si>
    <t xml:space="preserve">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 at its own cost. A graded Skill Certificate and Marksheet on passing, with the grade awarded as Grade A (85% and above) or Grade B (70% to less than 85%). Conditions associated with the benefits: The pass percentage for a Qualification Pack (QP) is 70%; a candidate must achieve marks greater than or equal to 70% to be awarded the Skill Certificate. Marks scored in the Core National Occupational Standards (NOS) of a QP are given 70% weightage, and the remaining 30% weightage is from the Non-Core NOS. Certification is at the same NSQF level as determined during pre-screening. AEBAS-based compulsory attendance is applicable, and more than 70% biometric attendance is required to appear for the assessment. Indicative average unit (per-candidate) cost by RPL type RPL with upskilling (30 hours) at an Accredited and Affiliated Training Centre: ₹3,126.18 per candidate. RPL with upskilling (30 hours) at Industry premises: ₹2,826.18 per candidate. RPL with upskilling (60 hours) at an Accredited and Affiliated Training Centre: ₹3,962.88 per candidate. RPL with upskilling (60 hours) at Industry premises: ₹3,662.88 per candidate. (Note on the 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t>
  </si>
  <si>
    <t xml:space="preserve">v2q-017-candidate-06</t>
  </si>
  <si>
    <t xml:space="preserve">v2q-017</t>
  </si>
  <si>
    <t xml:space="preserve">Which training route serves people no longer in education or work who need an initial occupational skill?</t>
  </si>
  <si>
    <t xml:space="preserve">PMKVY 4.0 Short-Term Training provides fresh skilling, reskilling, or upskilling for groups including school or college dropouts and unemployed youth.</t>
  </si>
  <si>
    <t xml:space="preserve">pilot-v2-doc-pmkvy-stt-0002-9b8eeae9f924</t>
  </si>
  <si>
    <t xml:space="preserve">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 Grade A (85% and above), Grade B (70% to less than 85%). More than 70% biometric (AEBAS) attendance is required for each candidate to appear in the assessment. The indicative average per-candidate cost is ₹9,540 for a 300-hour STT course (including Skill Hubs) and ₹13,724 for a 450-hour STT course, derived considering a base training cost of ₹27.89 per hour.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The applicant should be an Indian national. The applicant should possess a valid Aadhaar. The applicant should be in the age group of 15 to 45 years. The applicant should fulfil the eligibility criteria of the respective job role, as defined in the course curriculum of the job 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t>
  </si>
  <si>
    <t xml:space="preserve">v2q-017-candidate-14</t>
  </si>
  <si>
    <t xml:space="preserve">pilot-v2-doc-pmkvy-stt-0004-0258e7b813c4</t>
  </si>
  <si>
    <t xml:space="preserve">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 Training (OJT), and assessment by the NCVET-approved Awarding Bodies and Assessment Agencies. Step 6: On passing the assessment, the QR-code-based digital certificate is issued through DigiLocker, an email/phone download link, and the SID profile page, and a free printed certificate is provided by the Training Provider.</t>
  </si>
  <si>
    <t xml:space="preserve">v2q-017-candidate-15</t>
  </si>
  <si>
    <t xml:space="preserve">v2q-017-candidate-16</t>
  </si>
  <si>
    <t xml:space="preserve">pilot-v2-doc-pmkvy-rpl-0004-3a140d40bcee</t>
  </si>
  <si>
    <t xml:space="preserve">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 On passing with at least 70% marks, the applicant is awarded a graded (A/B) Skill Certificate and Marksheet, issued via DigiLocker, an email/phone download link, and the SID profile page.</t>
  </si>
  <si>
    <t xml:space="preserve">v2q-018-candidate-16</t>
  </si>
  <si>
    <t xml:space="preserve">v2q-018</t>
  </si>
  <si>
    <t xml:space="preserve">Which initiative helps city households across officially defined lower and middle income bands obtain permanent homes?</t>
  </si>
  <si>
    <t xml:space="preserve">Pradhan Mantri Awas Yojana–Urban addresses urban housing shortages and supports eligible EWS, LIG, and MIG households, including slum dwellers.</t>
  </si>
  <si>
    <t xml:space="preserve">pilot-v2-doc-mgnrega-0001-5203a455caa6</t>
  </si>
  <si>
    <t xml:space="preserve">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</si>
  <si>
    <t xml:space="preserve">v2q-019-candidate-02</t>
  </si>
  <si>
    <t xml:space="preserve">v2q-019</t>
  </si>
  <si>
    <t xml:space="preserve">What role does the Ministry of Petroleum and Natural Gas have in Ujjwala 2.0?</t>
  </si>
  <si>
    <t xml:space="preserve">The ministry introduced Ujjwala 2.0 to provide LPG connections and promote clean cooking fuel among poor, rural, and deprived households.</t>
  </si>
  <si>
    <t xml:space="preserve">pilot-v2-doc-pm-janman-0000-69ac65d10edc</t>
  </si>
  <si>
    <t xml:space="preserve">PM Janjati Adivasi Nyaya Maha Abhiyan (PM JANMAN)</t>
  </si>
  <si>
    <t xml:space="preserve">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</si>
  <si>
    <t xml:space="preserve">v2q-019-candidate-21</t>
  </si>
  <si>
    <t xml:space="preserve">v2q-020-candidate-01</t>
  </si>
  <si>
    <t xml:space="preserve">v2q-020</t>
  </si>
  <si>
    <t xml:space="preserve">How do NSDC and SPIAs divide responsibility in the Special Projects arm of the national skill mission?</t>
  </si>
  <si>
    <t xml:space="preserve">NSDC supports the ministry’s implementation, while Special Projects Implementing Agencies deliver the projects on the ground.</t>
  </si>
  <si>
    <t xml:space="preserve">pilot-v2-doc-pm-kmy-guidelines-0021-7ce201d9d183</t>
  </si>
  <si>
    <t xml:space="preserve">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</si>
  <si>
    <t xml:space="preserve">v2q-021-candidate-04</t>
  </si>
  <si>
    <t xml:space="preserve">v2q-021</t>
  </si>
  <si>
    <t xml:space="preserve">How do insurance companies and banks participate in PMFBY?</t>
  </si>
  <si>
    <t xml:space="preserve">PMFBY is implemented through a network of insurance companies and banks to provide crop-insurance protection to farmers.</t>
  </si>
  <si>
    <t xml:space="preserve">v2q-021-candidate-09</t>
  </si>
  <si>
    <t xml:space="preserve">v2q-021-candidate-14</t>
  </si>
  <si>
    <t xml:space="preserve">v2q-021-candidate-15</t>
  </si>
  <si>
    <t xml:space="preserve">pilot-v2-doc-pm-kmy-guidelines-0003-30d7d7a0db81</t>
  </si>
  <si>
    <t xml:space="preserve">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</si>
  <si>
    <t xml:space="preserve">v2q-021-candidate-18</t>
  </si>
  <si>
    <t xml:space="preserve">v2q-023-candidate-07</t>
  </si>
  <si>
    <t xml:space="preserve">v2q-023</t>
  </si>
  <si>
    <t xml:space="preserve">What role does a Gram Panchayat play when a household registers for MGNREGA?</t>
  </si>
  <si>
    <t xml:space="preserve">A household may apply through its local Gram Panchayat, which verifies residence, household identity, and adult membership details.</t>
  </si>
  <si>
    <t xml:space="preserve">v2q-023-candidate-13</t>
  </si>
  <si>
    <t xml:space="preserve">v2q-024-candidate-17</t>
  </si>
  <si>
    <t xml:space="preserve">v2q-024</t>
  </si>
  <si>
    <t xml:space="preserve">Which national health-assurance programme does NHA implement under the health ministry?</t>
  </si>
  <si>
    <t xml:space="preserve">The National Health Authority implements AB-PMJAY under the Ministry of Health and Family Welfare.</t>
  </si>
  <si>
    <t xml:space="preserve">v2q-024-candidate-20</t>
  </si>
  <si>
    <t xml:space="preserve">v2q-024-candidate-22</t>
  </si>
  <si>
    <t xml:space="preserve">pilot-v2-doc-pm-janman-0001-0deee4377b38</t>
  </si>
  <si>
    <t xml:space="preserve">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</si>
  <si>
    <t xml:space="preserve">v2q-025-candidate-06</t>
  </si>
  <si>
    <t xml:space="preserve">v2q-025</t>
  </si>
  <si>
    <t xml:space="preserve">What banking function does PMJDY provide, and which other programme from its ministry finances income-generating micro-enterprises?</t>
  </si>
  <si>
    <t xml:space="preserve">PMJDY provides universal banking services for unbanked households. PMMY, under the same Ministry of Finance, provides micro-credit for income-generating micro-enterprises.</t>
  </si>
  <si>
    <t xml:space="preserve">v2q-025-candidate-13</t>
  </si>
  <si>
    <t xml:space="preserve">v2q-025-candidate-18</t>
  </si>
  <si>
    <t xml:space="preserve">v2q-026-candidate-01</t>
  </si>
  <si>
    <t xml:space="preserve">v2q-026</t>
  </si>
  <si>
    <t xml:space="preserve">What employment guarantee does MGNREGA provide, and which other programme from its ministry supplies pucca houses to rural households?</t>
  </si>
  <si>
    <t xml:space="preserve">MGNREGA guarantees at least 100 days of wage employment to qualifying rural households. PMAY-G, under the same Ministry of Rural Development, supports pucca houses with basic amenities for eligible rural households.</t>
  </si>
  <si>
    <t xml:space="preserve">v2q-026-candidate-07</t>
  </si>
  <si>
    <t xml:space="preserve">pilot-v2-doc-pmay-g-0002-e08c1e347071</t>
  </si>
  <si>
    <t xml:space="preserve">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</si>
  <si>
    <t xml:space="preserve">v2q-026-candidate-18</t>
  </si>
  <si>
    <t xml:space="preserve">v2q-027-candidate-07</t>
  </si>
  <si>
    <t xml:space="preserve">v2q-027</t>
  </si>
  <si>
    <t xml:space="preserve">What livelihood mechanism does PM SVANidhi offer street vendors, and which other programme from its ministry addresses housing shortages for eligible urban households?</t>
  </si>
  <si>
    <t xml:space="preserve">PM SVANidhi offers street vendors collateral-free working-capital loans, interest subsidy, and digital-payment incentives. PMAY-U, under the same Ministry of Housing and Urban Affairs, provides housing support for eligible urban households.</t>
  </si>
  <si>
    <t xml:space="preserve">v2q-027-candidate-08</t>
  </si>
  <si>
    <t xml:space="preserve">pilot-v2-doc-pmay-g-0005-c6e2fcfefcd0</t>
  </si>
  <si>
    <t xml:space="preserve">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</si>
  <si>
    <t xml:space="preserve">v2q-027-candidate-20</t>
  </si>
  <si>
    <t xml:space="preserve">v2q-028-candidate-01</t>
  </si>
  <si>
    <t xml:space="preserve">v2q-028</t>
  </si>
  <si>
    <t xml:space="preserve">What does PMKVY Recognition of Prior Learning certify, and which other pathway from its ministry serves candidates seeking fresh short-term skills training?</t>
  </si>
  <si>
    <t xml:space="preserve">PMKVY Recognition of Prior Learning certifies candidates’ existing skills. PMKVY Short-Term Training, under the same Ministry of Skill Development and Entrepreneurship, provides fresh skilling, reskilling, or upskilling.</t>
  </si>
  <si>
    <t xml:space="preserve">pilot-v2-doc-pmkvy-sp-0002-dc58b95bab9b</t>
  </si>
  <si>
    <t xml:space="preserve">Pradhan Mantri Kaushal Vikas Yojana 4.0- Special Projects</t>
  </si>
  <si>
    <t xml:space="preserve">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</si>
  <si>
    <t xml:space="preserve">v2q-028-candidate-06</t>
  </si>
  <si>
    <t xml:space="preserve">v2q-028-candidate-16</t>
  </si>
  <si>
    <t xml:space="preserve">pilot-v2-doc-pm-kisan-guidelines-0000-bbe94f08550e</t>
  </si>
  <si>
    <t xml:space="preserve">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</si>
  <si>
    <t xml:space="preserve">v2q-029-candidate-09</t>
  </si>
  <si>
    <t xml:space="preserve">v2q-029</t>
  </si>
  <si>
    <t xml:space="preserve">What migrant-focused facility distinguishes Ujjwala 2.0, and what clean-cooking transition was established by its predecessor programme?</t>
  </si>
  <si>
    <t xml:space="preserve">Ujjwala 2.0 added 1.6 crore LPG connections with a special facility for migrant households. Its predecessor, Pradhan Mantri Ujjwala Yojana, sought to replace traditional cooking fuels with LPG access for rural and deprived households.</t>
  </si>
  <si>
    <t xml:space="preserve">v2q-029-candidate-16</t>
  </si>
  <si>
    <t xml:space="preserve">v2q-029-candidate-20</t>
  </si>
  <si>
    <t xml:space="preserve">v2q-029-candidate-21</t>
  </si>
  <si>
    <t xml:space="preserve">v2q-030-candidate-07</t>
  </si>
  <si>
    <t xml:space="preserve">v2q-030</t>
  </si>
  <si>
    <t xml:space="preserve">What retirement benefit does APY offer, and which life-insurance programme administered through the same department covers death from any cause?</t>
  </si>
  <si>
    <t xml:space="preserve">APY offers guaranteed monthly pension options after age 60. PMJJBY, associated with the same Department of Financial Services, provides life cover for death due to any reason.</t>
  </si>
  <si>
    <t xml:space="preserve">v2q-030-candidate-09</t>
  </si>
  <si>
    <t xml:space="preserve">pilot-v2-doc-pm-kmy-guidelines-0017-43ef720eda68</t>
  </si>
  <si>
    <t xml:space="preserve">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 strictly personal and cannot be assigned,
charged or alienated in any way.
If any restraint or prohibitory order  is served on the Government in respect of any
benefit payable to a subscriber or his  / her beneficiary or  if the subscriber or the
beneficiary shall become bankrupt or attempt to assign, charge or in any way encumber
the pension or any benefit there under, he / she shall forfeit all rights and claim thereto
and the same shall lapse to the Government but without prejudice to the powers of the
Government at their discretion to maintain or continue the same, it they think fit, either
immediately or after an interval or otherwise to make payments for the support of the
subscriber. The value of any or all benefits forfeited shall be transferred to the ‘Surplus
Account’.
14.  TO PREVAIL:
Should anything contained  in these guidelines or  in any alternation or amendment
thereof be inconsistent with the object or provisions of the Scheme, the provisions of the
Scheme as approved shall prevail. On any such discrepancy coming to the notice of 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t>
  </si>
  <si>
    <t xml:space="preserve">v2q-030-candidate-21</t>
  </si>
  <si>
    <t xml:space="preserve">v2q-031-candidate-03</t>
  </si>
  <si>
    <t xml:space="preserve">v2q-031</t>
  </si>
  <si>
    <t xml:space="preserve">How do three finance-sector programmes combine basic banking, life insurance, and accident insurance?</t>
  </si>
  <si>
    <t xml:space="preserve">PMJDY provides universal banking and access to financial services; PMJJBY supplies life cover for death from any cause; PMSBY supplies accidental-death and disability cover.</t>
  </si>
  <si>
    <t xml:space="preserve">v2q-031-candidate-13</t>
  </si>
  <si>
    <t xml:space="preserve">v2q-032-candidate-12</t>
  </si>
  <si>
    <t xml:space="preserve">v2q-032</t>
  </si>
  <si>
    <t xml:space="preserve">How do three farmer programmes separately address crop loss, current income needs, and old-age income security?</t>
  </si>
  <si>
    <t xml:space="preserve">PMFBY insures crops against specified losses; PM-KISAN transfers ₹6,000 annually to eligible farmer families; PM-KMY provides eligible small and marginal farmers an assured ₹3,000 monthly pension from age 60.</t>
  </si>
  <si>
    <t xml:space="preserve">v2q-032-candidate-14</t>
  </si>
  <si>
    <t xml:space="preserve">v2q-033-candidate-01</t>
  </si>
  <si>
    <t xml:space="preserve">v2q-033</t>
  </si>
  <si>
    <t xml:space="preserve">How do three programmes support micro-enterprises, new enterprise creation, and street-vendor livelihoods through different financial mechanisms?</t>
  </si>
  <si>
    <t xml:space="preserve">PMMY provides micro-credit to eligible micro-enterprises; PMEGP uses a credit-linked subsidy to establish new micro-enterprises; PM SVANidhi provides street vendors collateral-free working-capital loans, interest subsidy, and digital-payment incentives.</t>
  </si>
  <si>
    <t xml:space="preserve">v2q-033-candidate-07</t>
  </si>
  <si>
    <t xml:space="preserve">v2q-033-candidate-13</t>
  </si>
  <si>
    <t xml:space="preserve">v2q-033-candidate-16</t>
  </si>
  <si>
    <t xml:space="preserve">pilot-v2-doc-pm-svanidhi-0001-e06d259b429d</t>
  </si>
  <si>
    <t xml:space="preserve">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</si>
  <si>
    <t xml:space="preserve">v2q-034-candidate-04</t>
  </si>
  <si>
    <t xml:space="preserve">v2q-034</t>
  </si>
  <si>
    <t xml:space="preserve">How do three programmes meet distinct household needs for rural housing, clean cooking, and food security?</t>
  </si>
  <si>
    <t xml:space="preserve">PMAY-G supports pucca rural housing with basic amenities; PMUY provides LPG access to deprived households replacing traditional cooking fuels; PMGKAY provides free foodgrains to eligible AAY and PHH ration-card holders.</t>
  </si>
  <si>
    <t xml:space="preserve">v2q-034-candidate-08</t>
  </si>
  <si>
    <t xml:space="preserve">v2q-034-candidate-09</t>
  </si>
  <si>
    <t xml:space="preserve">pilot-v2-doc-pmuy-0000-ad06c0c09d46</t>
  </si>
  <si>
    <t xml:space="preserve">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</si>
  <si>
    <t xml:space="preserve">v2q-034-candidate-12</t>
  </si>
  <si>
    <t xml:space="preserve">pilot-v2-doc-pmuy2-0000-95fa2d4e3b3f</t>
  </si>
  <si>
    <t xml:space="preserve">Pradhan Mantri Ujjwala Yojana 2.0</t>
  </si>
  <si>
    <t xml:space="preserve">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</si>
  <si>
    <t xml:space="preserve">v2q-034-candidate-14</t>
  </si>
  <si>
    <t xml:space="preserve">v2q-034-candidate-15</t>
  </si>
  <si>
    <t xml:space="preserve">pilot-v2-doc-pmkvy-sp-0000-0fc5cf1d7fb0</t>
  </si>
  <si>
    <t xml:space="preserve">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</si>
  <si>
    <t xml:space="preserve">v2q-034-candidate-17</t>
  </si>
  <si>
    <t xml:space="preserve">Metric</t>
  </si>
  <si>
    <t xml:space="preserve">Value</t>
  </si>
  <si>
    <t xml:space="preserve">Total rows</t>
  </si>
  <si>
    <t xml:space="preserve">Graded</t>
  </si>
  <si>
    <t xml:space="preserve">Remaining blank</t>
  </si>
  <si>
    <t xml:space="preserve">Grade 2</t>
  </si>
  <si>
    <t xml:space="preserve">Grade 1</t>
  </si>
  <si>
    <t xml:space="preserve">Grade 0</t>
  </si>
  <si>
    <t xml:space="preserve">Grade U</t>
  </si>
  <si>
    <t xml:space="preserve">Rationales entered</t>
  </si>
  <si>
    <t xml:space="preserve">Percent complete</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</si>
</sst>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sz val="11"/>
      <color rgb="FF000000"/>
      <name val="Arial"/>
      <family val="0"/>
      <charset val="1"/>
    </font>
    <font>
      <b val="true"/>
      <sz val="12"/>
      <color rgb="FFC00000"/>
      <name val="Arial"/>
      <family val="0"/>
      <charset val="1"/>
    </font>
    <font>
      <sz val="11"/>
      <color rgb="FFC00000"/>
      <name val="Arial"/>
      <family val="0"/>
      <charset val="1"/>
    </font>
    <font>
      <b val="true"/>
      <sz val="12"/>
      <color rgb="FF1F3864"/>
      <name val="Arial"/>
      <family val="0"/>
      <charset val="1"/>
    </font>
    <font>
      <b val="true"/>
      <sz val="11"/>
      <color rgb="FF000000"/>
      <name val="Arial"/>
      <family val="0"/>
      <charset val="1"/>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F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2"/>
  </cols>
  <sheetData>
    <row r="1" customFormat="false" ht="18.5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4" t="s">
        <v>2</v>
      </c>
    </row>
    <row r="5" customFormat="false" ht="15" hidden="false" customHeight="false" outlineLevel="0" collapsed="false">
      <c r="A5" s="4" t="s">
        <v>3</v>
      </c>
    </row>
    <row r="6" customFormat="false" ht="15" hidden="false" customHeight="false" outlineLevel="0" collapsed="false">
      <c r="A6" s="2"/>
    </row>
    <row r="7" customFormat="false" ht="15" hidden="false" customHeight="false" outlineLevel="0" collapsed="false">
      <c r="A7" s="5"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5"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row>
    <row r="25" customFormat="false" ht="15" hidden="false" customHeight="false" outlineLevel="0" collapsed="false">
      <c r="A25" s="6"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4" min="3" style="0" width="46"/>
    <col collapsed="false" customWidth="true" hidden="false" outlineLevel="0" max="5" min="5" style="0" width="34"/>
    <col collapsed="false" customWidth="true" hidden="false" outlineLevel="0" max="6" min="6" style="0" width="30"/>
    <col collapsed="false" customWidth="true" hidden="false" outlineLevel="0" max="7" min="7" style="0" width="88"/>
    <col collapsed="false" customWidth="true" hidden="false" outlineLevel="0" max="8" min="8" style="0" width="15"/>
    <col collapsed="false" customWidth="true" hidden="false" outlineLevel="0" max="9" min="9" style="0" width="40"/>
  </cols>
  <sheetData>
    <row r="1" customFormat="false" ht="39.55" hidden="false" customHeight="false" outlineLevel="0" collapsed="false">
      <c r="A1" s="7" t="s">
        <v>20</v>
      </c>
      <c r="B1" s="7" t="s">
        <v>21</v>
      </c>
      <c r="C1" s="7" t="s">
        <v>22</v>
      </c>
      <c r="D1" s="7" t="s">
        <v>23</v>
      </c>
      <c r="E1" s="7" t="s">
        <v>24</v>
      </c>
      <c r="F1" s="7" t="s">
        <v>25</v>
      </c>
      <c r="G1" s="7" t="s">
        <v>26</v>
      </c>
      <c r="H1" s="7" t="s">
        <v>27</v>
      </c>
      <c r="I1" s="7" t="s">
        <v>28</v>
      </c>
    </row>
    <row r="2" customFormat="false" ht="117.75" hidden="false" customHeight="true" outlineLevel="0" collapsed="false">
      <c r="A2" s="8" t="s">
        <v>29</v>
      </c>
      <c r="B2" s="8" t="s">
        <v>30</v>
      </c>
      <c r="C2" s="8" t="s">
        <v>31</v>
      </c>
      <c r="D2" s="8" t="s">
        <v>32</v>
      </c>
      <c r="E2" s="8" t="s">
        <v>33</v>
      </c>
      <c r="F2" s="8" t="s">
        <v>34</v>
      </c>
      <c r="G2" s="8" t="s">
        <v>35</v>
      </c>
      <c r="H2" s="9"/>
      <c r="I2" s="9"/>
    </row>
    <row r="3" customFormat="false" ht="117.75" hidden="false" customHeight="true" outlineLevel="0" collapsed="false">
      <c r="A3" s="8" t="s">
        <v>36</v>
      </c>
      <c r="B3" s="8" t="s">
        <v>37</v>
      </c>
      <c r="C3" s="8" t="s">
        <v>38</v>
      </c>
      <c r="D3" s="8" t="s">
        <v>39</v>
      </c>
      <c r="E3" s="8" t="s">
        <v>40</v>
      </c>
      <c r="F3" s="8" t="s">
        <v>41</v>
      </c>
      <c r="G3" s="8" t="s">
        <v>42</v>
      </c>
      <c r="H3" s="9"/>
      <c r="I3" s="9"/>
    </row>
    <row r="4" customFormat="false" ht="117.75" hidden="false" customHeight="true" outlineLevel="0" collapsed="false">
      <c r="A4" s="8" t="s">
        <v>43</v>
      </c>
      <c r="B4" s="8" t="s">
        <v>37</v>
      </c>
      <c r="C4" s="8" t="s">
        <v>38</v>
      </c>
      <c r="D4" s="8" t="s">
        <v>39</v>
      </c>
      <c r="E4" s="8" t="s">
        <v>44</v>
      </c>
      <c r="F4" s="8" t="s">
        <v>45</v>
      </c>
      <c r="G4" s="8" t="s">
        <v>46</v>
      </c>
      <c r="H4" s="9"/>
      <c r="I4" s="9"/>
    </row>
    <row r="5" customFormat="false" ht="117.75" hidden="false" customHeight="true" outlineLevel="0" collapsed="false">
      <c r="A5" s="8" t="s">
        <v>47</v>
      </c>
      <c r="B5" s="8" t="s">
        <v>37</v>
      </c>
      <c r="C5" s="8" t="s">
        <v>38</v>
      </c>
      <c r="D5" s="8" t="s">
        <v>39</v>
      </c>
      <c r="E5" s="8" t="s">
        <v>48</v>
      </c>
      <c r="F5" s="8" t="s">
        <v>41</v>
      </c>
      <c r="G5" s="8" t="s">
        <v>49</v>
      </c>
      <c r="H5" s="9"/>
      <c r="I5" s="9"/>
    </row>
    <row r="6" customFormat="false" ht="117.75" hidden="false" customHeight="true" outlineLevel="0" collapsed="false">
      <c r="A6" s="8" t="s">
        <v>50</v>
      </c>
      <c r="B6" s="8" t="s">
        <v>37</v>
      </c>
      <c r="C6" s="8" t="s">
        <v>38</v>
      </c>
      <c r="D6" s="8" t="s">
        <v>39</v>
      </c>
      <c r="E6" s="8" t="s">
        <v>51</v>
      </c>
      <c r="F6" s="8" t="s">
        <v>41</v>
      </c>
      <c r="G6" s="8" t="s">
        <v>52</v>
      </c>
      <c r="H6" s="9"/>
      <c r="I6" s="9"/>
    </row>
    <row r="7" customFormat="false" ht="117.75" hidden="false" customHeight="true" outlineLevel="0" collapsed="false">
      <c r="A7" s="8" t="s">
        <v>53</v>
      </c>
      <c r="B7" s="8" t="s">
        <v>37</v>
      </c>
      <c r="C7" s="8" t="s">
        <v>38</v>
      </c>
      <c r="D7" s="8" t="s">
        <v>39</v>
      </c>
      <c r="E7" s="8" t="s">
        <v>54</v>
      </c>
      <c r="F7" s="8" t="s">
        <v>55</v>
      </c>
      <c r="G7" s="8" t="s">
        <v>56</v>
      </c>
      <c r="H7" s="9"/>
      <c r="I7" s="9"/>
    </row>
    <row r="8" customFormat="false" ht="117.75" hidden="false" customHeight="true" outlineLevel="0" collapsed="false">
      <c r="A8" s="8" t="s">
        <v>57</v>
      </c>
      <c r="B8" s="8" t="s">
        <v>37</v>
      </c>
      <c r="C8" s="8" t="s">
        <v>38</v>
      </c>
      <c r="D8" s="8" t="s">
        <v>39</v>
      </c>
      <c r="E8" s="8" t="s">
        <v>58</v>
      </c>
      <c r="F8" s="8" t="s">
        <v>59</v>
      </c>
      <c r="G8" s="8" t="s">
        <v>60</v>
      </c>
      <c r="H8" s="9"/>
      <c r="I8" s="9"/>
    </row>
    <row r="9" customFormat="false" ht="117.75" hidden="false" customHeight="true" outlineLevel="0" collapsed="false">
      <c r="A9" s="8" t="s">
        <v>61</v>
      </c>
      <c r="B9" s="8" t="s">
        <v>62</v>
      </c>
      <c r="C9" s="8" t="s">
        <v>63</v>
      </c>
      <c r="D9" s="8" t="s">
        <v>64</v>
      </c>
      <c r="E9" s="8" t="s">
        <v>65</v>
      </c>
      <c r="F9" s="8" t="s">
        <v>66</v>
      </c>
      <c r="G9" s="8" t="s">
        <v>67</v>
      </c>
      <c r="H9" s="9"/>
      <c r="I9" s="9"/>
    </row>
    <row r="10" customFormat="false" ht="117.75" hidden="false" customHeight="true" outlineLevel="0" collapsed="false">
      <c r="A10" s="8" t="s">
        <v>68</v>
      </c>
      <c r="B10" s="8" t="s">
        <v>62</v>
      </c>
      <c r="C10" s="8" t="s">
        <v>63</v>
      </c>
      <c r="D10" s="8" t="s">
        <v>64</v>
      </c>
      <c r="E10" s="8" t="s">
        <v>69</v>
      </c>
      <c r="F10" s="8" t="s">
        <v>59</v>
      </c>
      <c r="G10" s="8" t="s">
        <v>70</v>
      </c>
      <c r="H10" s="9"/>
      <c r="I10" s="9"/>
    </row>
    <row r="11" customFormat="false" ht="117.75" hidden="false" customHeight="true" outlineLevel="0" collapsed="false">
      <c r="A11" s="8" t="s">
        <v>71</v>
      </c>
      <c r="B11" s="8" t="s">
        <v>62</v>
      </c>
      <c r="C11" s="8" t="s">
        <v>63</v>
      </c>
      <c r="D11" s="8" t="s">
        <v>64</v>
      </c>
      <c r="E11" s="8" t="s">
        <v>72</v>
      </c>
      <c r="F11" s="8" t="s">
        <v>59</v>
      </c>
      <c r="G11" s="8" t="s">
        <v>73</v>
      </c>
      <c r="H11" s="9"/>
      <c r="I11" s="9"/>
    </row>
    <row r="12" customFormat="false" ht="117.75" hidden="false" customHeight="true" outlineLevel="0" collapsed="false">
      <c r="A12" s="8" t="s">
        <v>74</v>
      </c>
      <c r="B12" s="8" t="s">
        <v>75</v>
      </c>
      <c r="C12" s="8" t="s">
        <v>76</v>
      </c>
      <c r="D12" s="8" t="s">
        <v>77</v>
      </c>
      <c r="E12" s="8" t="s">
        <v>33</v>
      </c>
      <c r="F12" s="8" t="s">
        <v>34</v>
      </c>
      <c r="G12" s="8" t="s">
        <v>35</v>
      </c>
      <c r="H12" s="9"/>
      <c r="I12" s="9"/>
    </row>
    <row r="13" customFormat="false" ht="117.75" hidden="false" customHeight="true" outlineLevel="0" collapsed="false">
      <c r="A13" s="8" t="s">
        <v>78</v>
      </c>
      <c r="B13" s="8" t="s">
        <v>75</v>
      </c>
      <c r="C13" s="8" t="s">
        <v>76</v>
      </c>
      <c r="D13" s="8" t="s">
        <v>77</v>
      </c>
      <c r="E13" s="8" t="s">
        <v>79</v>
      </c>
      <c r="F13" s="8" t="s">
        <v>80</v>
      </c>
      <c r="G13" s="8" t="s">
        <v>81</v>
      </c>
      <c r="H13" s="9"/>
      <c r="I13" s="9"/>
    </row>
    <row r="14" customFormat="false" ht="117.75" hidden="false" customHeight="true" outlineLevel="0" collapsed="false">
      <c r="A14" s="8" t="s">
        <v>82</v>
      </c>
      <c r="B14" s="8" t="s">
        <v>75</v>
      </c>
      <c r="C14" s="8" t="s">
        <v>76</v>
      </c>
      <c r="D14" s="8" t="s">
        <v>77</v>
      </c>
      <c r="E14" s="8" t="s">
        <v>83</v>
      </c>
      <c r="F14" s="8" t="s">
        <v>84</v>
      </c>
      <c r="G14" s="8" t="s">
        <v>85</v>
      </c>
      <c r="H14" s="9"/>
      <c r="I14" s="9"/>
    </row>
    <row r="15" customFormat="false" ht="117.75" hidden="false" customHeight="true" outlineLevel="0" collapsed="false">
      <c r="A15" s="8" t="s">
        <v>86</v>
      </c>
      <c r="B15" s="8" t="s">
        <v>75</v>
      </c>
      <c r="C15" s="8" t="s">
        <v>76</v>
      </c>
      <c r="D15" s="8" t="s">
        <v>77</v>
      </c>
      <c r="E15" s="8" t="s">
        <v>87</v>
      </c>
      <c r="F15" s="8" t="s">
        <v>88</v>
      </c>
      <c r="G15" s="8" t="s">
        <v>89</v>
      </c>
      <c r="H15" s="9"/>
      <c r="I15" s="9"/>
    </row>
    <row r="16" customFormat="false" ht="117.75" hidden="false" customHeight="true" outlineLevel="0" collapsed="false">
      <c r="A16" s="8" t="s">
        <v>90</v>
      </c>
      <c r="B16" s="8" t="s">
        <v>75</v>
      </c>
      <c r="C16" s="8" t="s">
        <v>76</v>
      </c>
      <c r="D16" s="8" t="s">
        <v>77</v>
      </c>
      <c r="E16" s="8" t="s">
        <v>91</v>
      </c>
      <c r="F16" s="8" t="s">
        <v>55</v>
      </c>
      <c r="G16" s="8" t="s">
        <v>92</v>
      </c>
      <c r="H16" s="9"/>
      <c r="I16" s="9"/>
    </row>
    <row r="17" customFormat="false" ht="117.75" hidden="false" customHeight="true" outlineLevel="0" collapsed="false">
      <c r="A17" s="8" t="s">
        <v>93</v>
      </c>
      <c r="B17" s="8" t="s">
        <v>75</v>
      </c>
      <c r="C17" s="8" t="s">
        <v>76</v>
      </c>
      <c r="D17" s="8" t="s">
        <v>77</v>
      </c>
      <c r="E17" s="8" t="s">
        <v>94</v>
      </c>
      <c r="F17" s="8" t="s">
        <v>55</v>
      </c>
      <c r="G17" s="8" t="s">
        <v>95</v>
      </c>
      <c r="H17" s="9"/>
      <c r="I17" s="9"/>
    </row>
    <row r="18" customFormat="false" ht="117.75" hidden="false" customHeight="true" outlineLevel="0" collapsed="false">
      <c r="A18" s="8" t="s">
        <v>96</v>
      </c>
      <c r="B18" s="8" t="s">
        <v>97</v>
      </c>
      <c r="C18" s="8" t="s">
        <v>98</v>
      </c>
      <c r="D18" s="8" t="s">
        <v>99</v>
      </c>
      <c r="E18" s="8" t="s">
        <v>100</v>
      </c>
      <c r="F18" s="8" t="s">
        <v>101</v>
      </c>
      <c r="G18" s="8" t="s">
        <v>102</v>
      </c>
      <c r="H18" s="9"/>
      <c r="I18" s="9"/>
    </row>
    <row r="19" customFormat="false" ht="117.75" hidden="false" customHeight="true" outlineLevel="0" collapsed="false">
      <c r="A19" s="8" t="s">
        <v>103</v>
      </c>
      <c r="B19" s="8" t="s">
        <v>97</v>
      </c>
      <c r="C19" s="8" t="s">
        <v>98</v>
      </c>
      <c r="D19" s="8" t="s">
        <v>99</v>
      </c>
      <c r="E19" s="8" t="s">
        <v>58</v>
      </c>
      <c r="F19" s="8" t="s">
        <v>59</v>
      </c>
      <c r="G19" s="8" t="s">
        <v>60</v>
      </c>
      <c r="H19" s="9"/>
      <c r="I19" s="9"/>
    </row>
    <row r="20" customFormat="false" ht="117.75" hidden="false" customHeight="true" outlineLevel="0" collapsed="false">
      <c r="A20" s="8" t="s">
        <v>104</v>
      </c>
      <c r="B20" s="8" t="s">
        <v>97</v>
      </c>
      <c r="C20" s="8" t="s">
        <v>98</v>
      </c>
      <c r="D20" s="8" t="s">
        <v>99</v>
      </c>
      <c r="E20" s="8" t="s">
        <v>105</v>
      </c>
      <c r="F20" s="8" t="s">
        <v>106</v>
      </c>
      <c r="G20" s="8" t="s">
        <v>107</v>
      </c>
      <c r="H20" s="9"/>
      <c r="I20" s="9"/>
    </row>
    <row r="21" customFormat="false" ht="117.75" hidden="false" customHeight="true" outlineLevel="0" collapsed="false">
      <c r="A21" s="8" t="s">
        <v>108</v>
      </c>
      <c r="B21" s="8" t="s">
        <v>97</v>
      </c>
      <c r="C21" s="8" t="s">
        <v>98</v>
      </c>
      <c r="D21" s="8" t="s">
        <v>99</v>
      </c>
      <c r="E21" s="8" t="s">
        <v>109</v>
      </c>
      <c r="F21" s="8" t="s">
        <v>59</v>
      </c>
      <c r="G21" s="8" t="s">
        <v>110</v>
      </c>
      <c r="H21" s="9"/>
      <c r="I21" s="9"/>
    </row>
    <row r="22" customFormat="false" ht="117.75" hidden="false" customHeight="true" outlineLevel="0" collapsed="false">
      <c r="A22" s="8" t="s">
        <v>111</v>
      </c>
      <c r="B22" s="8" t="s">
        <v>112</v>
      </c>
      <c r="C22" s="8" t="s">
        <v>113</v>
      </c>
      <c r="D22" s="8" t="s">
        <v>114</v>
      </c>
      <c r="E22" s="8" t="s">
        <v>115</v>
      </c>
      <c r="F22" s="8" t="s">
        <v>80</v>
      </c>
      <c r="G22" s="8" t="s">
        <v>116</v>
      </c>
      <c r="H22" s="9"/>
      <c r="I22" s="9"/>
    </row>
    <row r="23" customFormat="false" ht="117.75" hidden="false" customHeight="true" outlineLevel="0" collapsed="false">
      <c r="A23" s="8" t="s">
        <v>117</v>
      </c>
      <c r="B23" s="8" t="s">
        <v>112</v>
      </c>
      <c r="C23" s="8" t="s">
        <v>113</v>
      </c>
      <c r="D23" s="8" t="s">
        <v>114</v>
      </c>
      <c r="E23" s="8" t="s">
        <v>118</v>
      </c>
      <c r="F23" s="8" t="s">
        <v>34</v>
      </c>
      <c r="G23" s="8" t="s">
        <v>119</v>
      </c>
      <c r="H23" s="9"/>
      <c r="I23" s="9"/>
    </row>
    <row r="24" customFormat="false" ht="117.75" hidden="false" customHeight="true" outlineLevel="0" collapsed="false">
      <c r="A24" s="8" t="s">
        <v>120</v>
      </c>
      <c r="B24" s="8" t="s">
        <v>112</v>
      </c>
      <c r="C24" s="8" t="s">
        <v>113</v>
      </c>
      <c r="D24" s="8" t="s">
        <v>114</v>
      </c>
      <c r="E24" s="8" t="s">
        <v>121</v>
      </c>
      <c r="F24" s="8" t="s">
        <v>122</v>
      </c>
      <c r="G24" s="8" t="s">
        <v>123</v>
      </c>
      <c r="H24" s="9"/>
      <c r="I24" s="9"/>
    </row>
    <row r="25" customFormat="false" ht="117.75" hidden="false" customHeight="true" outlineLevel="0" collapsed="false">
      <c r="A25" s="8" t="s">
        <v>124</v>
      </c>
      <c r="B25" s="8" t="s">
        <v>125</v>
      </c>
      <c r="C25" s="8" t="s">
        <v>126</v>
      </c>
      <c r="D25" s="8" t="s">
        <v>127</v>
      </c>
      <c r="E25" s="8" t="s">
        <v>128</v>
      </c>
      <c r="F25" s="8" t="s">
        <v>45</v>
      </c>
      <c r="G25" s="8" t="s">
        <v>129</v>
      </c>
      <c r="H25" s="9"/>
      <c r="I25" s="9"/>
    </row>
    <row r="26" customFormat="false" ht="117.75" hidden="false" customHeight="true" outlineLevel="0" collapsed="false">
      <c r="A26" s="8" t="s">
        <v>130</v>
      </c>
      <c r="B26" s="8" t="s">
        <v>125</v>
      </c>
      <c r="C26" s="8" t="s">
        <v>126</v>
      </c>
      <c r="D26" s="8" t="s">
        <v>127</v>
      </c>
      <c r="E26" s="8" t="s">
        <v>131</v>
      </c>
      <c r="F26" s="8" t="s">
        <v>41</v>
      </c>
      <c r="G26" s="8" t="s">
        <v>132</v>
      </c>
      <c r="H26" s="9"/>
      <c r="I26" s="9"/>
    </row>
    <row r="27" customFormat="false" ht="117.75" hidden="false" customHeight="true" outlineLevel="0" collapsed="false">
      <c r="A27" s="8" t="s">
        <v>133</v>
      </c>
      <c r="B27" s="8" t="s">
        <v>125</v>
      </c>
      <c r="C27" s="8" t="s">
        <v>126</v>
      </c>
      <c r="D27" s="8" t="s">
        <v>127</v>
      </c>
      <c r="E27" s="8" t="s">
        <v>134</v>
      </c>
      <c r="F27" s="8" t="s">
        <v>122</v>
      </c>
      <c r="G27" s="8" t="s">
        <v>135</v>
      </c>
      <c r="H27" s="9"/>
      <c r="I27" s="9"/>
    </row>
    <row r="28" customFormat="false" ht="117.75" hidden="false" customHeight="true" outlineLevel="0" collapsed="false">
      <c r="A28" s="8" t="s">
        <v>136</v>
      </c>
      <c r="B28" s="8" t="s">
        <v>125</v>
      </c>
      <c r="C28" s="8" t="s">
        <v>126</v>
      </c>
      <c r="D28" s="8" t="s">
        <v>127</v>
      </c>
      <c r="E28" s="8" t="s">
        <v>137</v>
      </c>
      <c r="F28" s="8" t="s">
        <v>45</v>
      </c>
      <c r="G28" s="8" t="s">
        <v>138</v>
      </c>
      <c r="H28" s="9"/>
      <c r="I28" s="9"/>
    </row>
    <row r="29" customFormat="false" ht="117.75" hidden="false" customHeight="true" outlineLevel="0" collapsed="false">
      <c r="A29" s="8" t="s">
        <v>139</v>
      </c>
      <c r="B29" s="8" t="s">
        <v>125</v>
      </c>
      <c r="C29" s="8" t="s">
        <v>126</v>
      </c>
      <c r="D29" s="8" t="s">
        <v>127</v>
      </c>
      <c r="E29" s="8" t="s">
        <v>109</v>
      </c>
      <c r="F29" s="8" t="s">
        <v>59</v>
      </c>
      <c r="G29" s="8" t="s">
        <v>110</v>
      </c>
      <c r="H29" s="9"/>
      <c r="I29" s="9"/>
    </row>
    <row r="30" customFormat="false" ht="117.75" hidden="false" customHeight="true" outlineLevel="0" collapsed="false">
      <c r="A30" s="8" t="s">
        <v>140</v>
      </c>
      <c r="B30" s="8" t="s">
        <v>141</v>
      </c>
      <c r="C30" s="8" t="s">
        <v>142</v>
      </c>
      <c r="D30" s="8" t="s">
        <v>143</v>
      </c>
      <c r="E30" s="8" t="s">
        <v>83</v>
      </c>
      <c r="F30" s="8" t="s">
        <v>84</v>
      </c>
      <c r="G30" s="8" t="s">
        <v>85</v>
      </c>
      <c r="H30" s="9"/>
      <c r="I30" s="9"/>
    </row>
    <row r="31" customFormat="false" ht="117.75" hidden="false" customHeight="true" outlineLevel="0" collapsed="false">
      <c r="A31" s="8" t="s">
        <v>144</v>
      </c>
      <c r="B31" s="8" t="s">
        <v>145</v>
      </c>
      <c r="C31" s="8" t="s">
        <v>146</v>
      </c>
      <c r="D31" s="8" t="s">
        <v>147</v>
      </c>
      <c r="E31" s="8" t="s">
        <v>148</v>
      </c>
      <c r="F31" s="8" t="s">
        <v>45</v>
      </c>
      <c r="G31" s="8" t="s">
        <v>149</v>
      </c>
      <c r="H31" s="9"/>
      <c r="I31" s="9"/>
    </row>
    <row r="32" customFormat="false" ht="117.75" hidden="false" customHeight="true" outlineLevel="0" collapsed="false">
      <c r="A32" s="8" t="s">
        <v>150</v>
      </c>
      <c r="B32" s="8" t="s">
        <v>145</v>
      </c>
      <c r="C32" s="8" t="s">
        <v>146</v>
      </c>
      <c r="D32" s="8" t="s">
        <v>147</v>
      </c>
      <c r="E32" s="8" t="s">
        <v>91</v>
      </c>
      <c r="F32" s="8" t="s">
        <v>55</v>
      </c>
      <c r="G32" s="8" t="s">
        <v>92</v>
      </c>
      <c r="H32" s="9"/>
      <c r="I32" s="9"/>
    </row>
    <row r="33" customFormat="false" ht="117.75" hidden="false" customHeight="true" outlineLevel="0" collapsed="false">
      <c r="A33" s="8" t="s">
        <v>151</v>
      </c>
      <c r="B33" s="8" t="s">
        <v>145</v>
      </c>
      <c r="C33" s="8" t="s">
        <v>146</v>
      </c>
      <c r="D33" s="8" t="s">
        <v>147</v>
      </c>
      <c r="E33" s="8" t="s">
        <v>134</v>
      </c>
      <c r="F33" s="8" t="s">
        <v>122</v>
      </c>
      <c r="G33" s="8" t="s">
        <v>135</v>
      </c>
      <c r="H33" s="9"/>
      <c r="I33" s="9"/>
    </row>
    <row r="34" customFormat="false" ht="117.75" hidden="false" customHeight="true" outlineLevel="0" collapsed="false">
      <c r="A34" s="8" t="s">
        <v>152</v>
      </c>
      <c r="B34" s="8" t="s">
        <v>145</v>
      </c>
      <c r="C34" s="8" t="s">
        <v>146</v>
      </c>
      <c r="D34" s="8" t="s">
        <v>147</v>
      </c>
      <c r="E34" s="8" t="s">
        <v>137</v>
      </c>
      <c r="F34" s="8" t="s">
        <v>45</v>
      </c>
      <c r="G34" s="8" t="s">
        <v>138</v>
      </c>
      <c r="H34" s="9"/>
      <c r="I34" s="9"/>
    </row>
    <row r="35" customFormat="false" ht="117.75" hidden="false" customHeight="true" outlineLevel="0" collapsed="false">
      <c r="A35" s="8" t="s">
        <v>153</v>
      </c>
      <c r="B35" s="8" t="s">
        <v>145</v>
      </c>
      <c r="C35" s="8" t="s">
        <v>146</v>
      </c>
      <c r="D35" s="8" t="s">
        <v>147</v>
      </c>
      <c r="E35" s="8" t="s">
        <v>87</v>
      </c>
      <c r="F35" s="8" t="s">
        <v>88</v>
      </c>
      <c r="G35" s="8" t="s">
        <v>89</v>
      </c>
      <c r="H35" s="9"/>
      <c r="I35" s="9"/>
    </row>
    <row r="36" customFormat="false" ht="117.75" hidden="false" customHeight="true" outlineLevel="0" collapsed="false">
      <c r="A36" s="8" t="s">
        <v>154</v>
      </c>
      <c r="B36" s="8" t="s">
        <v>145</v>
      </c>
      <c r="C36" s="8" t="s">
        <v>146</v>
      </c>
      <c r="D36" s="8" t="s">
        <v>147</v>
      </c>
      <c r="E36" s="8" t="s">
        <v>155</v>
      </c>
      <c r="F36" s="8" t="s">
        <v>106</v>
      </c>
      <c r="G36" s="8" t="s">
        <v>156</v>
      </c>
      <c r="H36" s="9"/>
      <c r="I36" s="9"/>
    </row>
    <row r="37" customFormat="false" ht="117.75" hidden="false" customHeight="true" outlineLevel="0" collapsed="false">
      <c r="A37" s="8" t="s">
        <v>157</v>
      </c>
      <c r="B37" s="8" t="s">
        <v>145</v>
      </c>
      <c r="C37" s="8" t="s">
        <v>146</v>
      </c>
      <c r="D37" s="8" t="s">
        <v>147</v>
      </c>
      <c r="E37" s="8" t="s">
        <v>105</v>
      </c>
      <c r="F37" s="8" t="s">
        <v>106</v>
      </c>
      <c r="G37" s="8" t="s">
        <v>107</v>
      </c>
      <c r="H37" s="9"/>
      <c r="I37" s="9"/>
    </row>
    <row r="38" customFormat="false" ht="117.75" hidden="false" customHeight="true" outlineLevel="0" collapsed="false">
      <c r="A38" s="8" t="s">
        <v>158</v>
      </c>
      <c r="B38" s="8" t="s">
        <v>145</v>
      </c>
      <c r="C38" s="8" t="s">
        <v>146</v>
      </c>
      <c r="D38" s="8" t="s">
        <v>147</v>
      </c>
      <c r="E38" s="8" t="s">
        <v>58</v>
      </c>
      <c r="F38" s="8" t="s">
        <v>59</v>
      </c>
      <c r="G38" s="8" t="s">
        <v>60</v>
      </c>
      <c r="H38" s="9"/>
      <c r="I38" s="9"/>
    </row>
    <row r="39" customFormat="false" ht="117.75" hidden="false" customHeight="true" outlineLevel="0" collapsed="false">
      <c r="A39" s="8" t="s">
        <v>159</v>
      </c>
      <c r="B39" s="8" t="s">
        <v>160</v>
      </c>
      <c r="C39" s="8" t="s">
        <v>161</v>
      </c>
      <c r="D39" s="8" t="s">
        <v>162</v>
      </c>
      <c r="E39" s="8" t="s">
        <v>131</v>
      </c>
      <c r="F39" s="8" t="s">
        <v>41</v>
      </c>
      <c r="G39" s="8" t="s">
        <v>132</v>
      </c>
      <c r="H39" s="9"/>
      <c r="I39" s="9"/>
    </row>
    <row r="40" customFormat="false" ht="117.75" hidden="false" customHeight="true" outlineLevel="0" collapsed="false">
      <c r="A40" s="8" t="s">
        <v>163</v>
      </c>
      <c r="B40" s="8" t="s">
        <v>160</v>
      </c>
      <c r="C40" s="8" t="s">
        <v>161</v>
      </c>
      <c r="D40" s="8" t="s">
        <v>162</v>
      </c>
      <c r="E40" s="8" t="s">
        <v>164</v>
      </c>
      <c r="F40" s="8" t="s">
        <v>45</v>
      </c>
      <c r="G40" s="8" t="s">
        <v>165</v>
      </c>
      <c r="H40" s="9"/>
      <c r="I40" s="9"/>
    </row>
    <row r="41" customFormat="false" ht="117.75" hidden="false" customHeight="true" outlineLevel="0" collapsed="false">
      <c r="A41" s="8" t="s">
        <v>166</v>
      </c>
      <c r="B41" s="8" t="s">
        <v>160</v>
      </c>
      <c r="C41" s="8" t="s">
        <v>161</v>
      </c>
      <c r="D41" s="8" t="s">
        <v>162</v>
      </c>
      <c r="E41" s="8" t="s">
        <v>167</v>
      </c>
      <c r="F41" s="8" t="s">
        <v>101</v>
      </c>
      <c r="G41" s="8" t="s">
        <v>168</v>
      </c>
      <c r="H41" s="9"/>
      <c r="I41" s="9"/>
    </row>
    <row r="42" customFormat="false" ht="117.75" hidden="false" customHeight="true" outlineLevel="0" collapsed="false">
      <c r="A42" s="8" t="s">
        <v>169</v>
      </c>
      <c r="B42" s="8" t="s">
        <v>160</v>
      </c>
      <c r="C42" s="8" t="s">
        <v>161</v>
      </c>
      <c r="D42" s="8" t="s">
        <v>162</v>
      </c>
      <c r="E42" s="8" t="s">
        <v>170</v>
      </c>
      <c r="F42" s="8" t="s">
        <v>171</v>
      </c>
      <c r="G42" s="8" t="s">
        <v>172</v>
      </c>
      <c r="H42" s="9"/>
      <c r="I42" s="9"/>
    </row>
    <row r="43" customFormat="false" ht="117.75" hidden="false" customHeight="true" outlineLevel="0" collapsed="false">
      <c r="A43" s="8" t="s">
        <v>173</v>
      </c>
      <c r="B43" s="8" t="s">
        <v>174</v>
      </c>
      <c r="C43" s="8" t="s">
        <v>175</v>
      </c>
      <c r="D43" s="8" t="s">
        <v>176</v>
      </c>
      <c r="E43" s="8" t="s">
        <v>177</v>
      </c>
      <c r="F43" s="8" t="s">
        <v>45</v>
      </c>
      <c r="G43" s="8" t="s">
        <v>178</v>
      </c>
      <c r="H43" s="9"/>
      <c r="I43" s="9"/>
    </row>
    <row r="44" customFormat="false" ht="117.75" hidden="false" customHeight="true" outlineLevel="0" collapsed="false">
      <c r="A44" s="8" t="s">
        <v>179</v>
      </c>
      <c r="B44" s="8" t="s">
        <v>174</v>
      </c>
      <c r="C44" s="8" t="s">
        <v>175</v>
      </c>
      <c r="D44" s="8" t="s">
        <v>176</v>
      </c>
      <c r="E44" s="8" t="s">
        <v>65</v>
      </c>
      <c r="F44" s="8" t="s">
        <v>66</v>
      </c>
      <c r="G44" s="8" t="s">
        <v>67</v>
      </c>
      <c r="H44" s="9"/>
      <c r="I44" s="9"/>
    </row>
    <row r="45" customFormat="false" ht="117.75" hidden="false" customHeight="true" outlineLevel="0" collapsed="false">
      <c r="A45" s="8" t="s">
        <v>180</v>
      </c>
      <c r="B45" s="8" t="s">
        <v>181</v>
      </c>
      <c r="C45" s="8" t="s">
        <v>182</v>
      </c>
      <c r="D45" s="8" t="s">
        <v>183</v>
      </c>
      <c r="E45" s="8" t="s">
        <v>184</v>
      </c>
      <c r="F45" s="8" t="s">
        <v>101</v>
      </c>
      <c r="G45" s="8" t="s">
        <v>185</v>
      </c>
      <c r="H45" s="9"/>
      <c r="I45" s="9"/>
    </row>
    <row r="46" customFormat="false" ht="117.75" hidden="false" customHeight="true" outlineLevel="0" collapsed="false">
      <c r="A46" s="8" t="s">
        <v>186</v>
      </c>
      <c r="B46" s="8" t="s">
        <v>181</v>
      </c>
      <c r="C46" s="8" t="s">
        <v>182</v>
      </c>
      <c r="D46" s="8" t="s">
        <v>183</v>
      </c>
      <c r="E46" s="8" t="s">
        <v>109</v>
      </c>
      <c r="F46" s="8" t="s">
        <v>59</v>
      </c>
      <c r="G46" s="8" t="s">
        <v>110</v>
      </c>
      <c r="H46" s="9"/>
      <c r="I46" s="9"/>
    </row>
    <row r="47" customFormat="false" ht="117.75" hidden="false" customHeight="true" outlineLevel="0" collapsed="false">
      <c r="A47" s="8" t="s">
        <v>187</v>
      </c>
      <c r="B47" s="8" t="s">
        <v>181</v>
      </c>
      <c r="C47" s="8" t="s">
        <v>182</v>
      </c>
      <c r="D47" s="8" t="s">
        <v>183</v>
      </c>
      <c r="E47" s="8" t="s">
        <v>115</v>
      </c>
      <c r="F47" s="8" t="s">
        <v>80</v>
      </c>
      <c r="G47" s="8" t="s">
        <v>116</v>
      </c>
      <c r="H47" s="9"/>
      <c r="I47" s="9"/>
    </row>
    <row r="48" customFormat="false" ht="117.75" hidden="false" customHeight="true" outlineLevel="0" collapsed="false">
      <c r="A48" s="8" t="s">
        <v>188</v>
      </c>
      <c r="B48" s="8" t="s">
        <v>181</v>
      </c>
      <c r="C48" s="8" t="s">
        <v>182</v>
      </c>
      <c r="D48" s="8" t="s">
        <v>183</v>
      </c>
      <c r="E48" s="8" t="s">
        <v>189</v>
      </c>
      <c r="F48" s="8" t="s">
        <v>45</v>
      </c>
      <c r="G48" s="8" t="s">
        <v>190</v>
      </c>
      <c r="H48" s="9"/>
      <c r="I48" s="9"/>
    </row>
    <row r="49" customFormat="false" ht="117.75" hidden="false" customHeight="true" outlineLevel="0" collapsed="false">
      <c r="A49" s="8" t="s">
        <v>191</v>
      </c>
      <c r="B49" s="8" t="s">
        <v>181</v>
      </c>
      <c r="C49" s="8" t="s">
        <v>182</v>
      </c>
      <c r="D49" s="8" t="s">
        <v>183</v>
      </c>
      <c r="E49" s="8" t="s">
        <v>192</v>
      </c>
      <c r="F49" s="8" t="s">
        <v>193</v>
      </c>
      <c r="G49" s="8" t="s">
        <v>194</v>
      </c>
      <c r="H49" s="9"/>
      <c r="I49" s="9"/>
    </row>
    <row r="50" customFormat="false" ht="117.75" hidden="false" customHeight="true" outlineLevel="0" collapsed="false">
      <c r="A50" s="8" t="s">
        <v>195</v>
      </c>
      <c r="B50" s="8" t="s">
        <v>181</v>
      </c>
      <c r="C50" s="8" t="s">
        <v>182</v>
      </c>
      <c r="D50" s="8" t="s">
        <v>183</v>
      </c>
      <c r="E50" s="8" t="s">
        <v>196</v>
      </c>
      <c r="F50" s="8" t="s">
        <v>197</v>
      </c>
      <c r="G50" s="8" t="s">
        <v>198</v>
      </c>
      <c r="H50" s="9"/>
      <c r="I50" s="9"/>
    </row>
    <row r="51" customFormat="false" ht="117.75" hidden="false" customHeight="true" outlineLevel="0" collapsed="false">
      <c r="A51" s="8" t="s">
        <v>199</v>
      </c>
      <c r="B51" s="8" t="s">
        <v>181</v>
      </c>
      <c r="C51" s="8" t="s">
        <v>182</v>
      </c>
      <c r="D51" s="8" t="s">
        <v>183</v>
      </c>
      <c r="E51" s="8" t="s">
        <v>200</v>
      </c>
      <c r="F51" s="8" t="s">
        <v>193</v>
      </c>
      <c r="G51" s="8" t="s">
        <v>201</v>
      </c>
      <c r="H51" s="9"/>
      <c r="I51" s="9"/>
    </row>
    <row r="52" customFormat="false" ht="117.75" hidden="false" customHeight="true" outlineLevel="0" collapsed="false">
      <c r="A52" s="8" t="s">
        <v>202</v>
      </c>
      <c r="B52" s="8" t="s">
        <v>203</v>
      </c>
      <c r="C52" s="8" t="s">
        <v>204</v>
      </c>
      <c r="D52" s="8" t="s">
        <v>205</v>
      </c>
      <c r="E52" s="8" t="s">
        <v>206</v>
      </c>
      <c r="F52" s="8" t="s">
        <v>55</v>
      </c>
      <c r="G52" s="8" t="s">
        <v>207</v>
      </c>
      <c r="H52" s="9"/>
      <c r="I52" s="9"/>
    </row>
    <row r="53" customFormat="false" ht="117.75" hidden="false" customHeight="true" outlineLevel="0" collapsed="false">
      <c r="A53" s="8" t="s">
        <v>208</v>
      </c>
      <c r="B53" s="8" t="s">
        <v>203</v>
      </c>
      <c r="C53" s="8" t="s">
        <v>204</v>
      </c>
      <c r="D53" s="8" t="s">
        <v>205</v>
      </c>
      <c r="E53" s="8" t="s">
        <v>196</v>
      </c>
      <c r="F53" s="8" t="s">
        <v>197</v>
      </c>
      <c r="G53" s="8" t="s">
        <v>198</v>
      </c>
      <c r="H53" s="9"/>
      <c r="I53" s="9"/>
    </row>
    <row r="54" customFormat="false" ht="117.75" hidden="false" customHeight="true" outlineLevel="0" collapsed="false">
      <c r="A54" s="8" t="s">
        <v>209</v>
      </c>
      <c r="B54" s="8" t="s">
        <v>210</v>
      </c>
      <c r="C54" s="8" t="s">
        <v>211</v>
      </c>
      <c r="D54" s="8" t="s">
        <v>212</v>
      </c>
      <c r="E54" s="8" t="s">
        <v>213</v>
      </c>
      <c r="F54" s="8" t="s">
        <v>80</v>
      </c>
      <c r="G54" s="8" t="s">
        <v>214</v>
      </c>
      <c r="H54" s="9"/>
      <c r="I54" s="9"/>
    </row>
    <row r="55" customFormat="false" ht="117.75" hidden="false" customHeight="true" outlineLevel="0" collapsed="false">
      <c r="A55" s="8" t="s">
        <v>215</v>
      </c>
      <c r="B55" s="8" t="s">
        <v>210</v>
      </c>
      <c r="C55" s="8" t="s">
        <v>211</v>
      </c>
      <c r="D55" s="8" t="s">
        <v>212</v>
      </c>
      <c r="E55" s="8" t="s">
        <v>216</v>
      </c>
      <c r="F55" s="8" t="s">
        <v>217</v>
      </c>
      <c r="G55" s="8" t="s">
        <v>218</v>
      </c>
      <c r="H55" s="9"/>
      <c r="I55" s="9"/>
    </row>
    <row r="56" customFormat="false" ht="117.75" hidden="false" customHeight="true" outlineLevel="0" collapsed="false">
      <c r="A56" s="8" t="s">
        <v>219</v>
      </c>
      <c r="B56" s="8" t="s">
        <v>210</v>
      </c>
      <c r="C56" s="8" t="s">
        <v>211</v>
      </c>
      <c r="D56" s="8" t="s">
        <v>212</v>
      </c>
      <c r="E56" s="8" t="s">
        <v>94</v>
      </c>
      <c r="F56" s="8" t="s">
        <v>55</v>
      </c>
      <c r="G56" s="8" t="s">
        <v>95</v>
      </c>
      <c r="H56" s="9"/>
      <c r="I56" s="9"/>
    </row>
    <row r="57" customFormat="false" ht="117.75" hidden="false" customHeight="true" outlineLevel="0" collapsed="false">
      <c r="A57" s="8" t="s">
        <v>220</v>
      </c>
      <c r="B57" s="8" t="s">
        <v>221</v>
      </c>
      <c r="C57" s="8" t="s">
        <v>222</v>
      </c>
      <c r="D57" s="8" t="s">
        <v>223</v>
      </c>
      <c r="E57" s="8" t="s">
        <v>224</v>
      </c>
      <c r="F57" s="8" t="s">
        <v>80</v>
      </c>
      <c r="G57" s="8" t="s">
        <v>225</v>
      </c>
      <c r="H57" s="9"/>
      <c r="I57" s="9"/>
    </row>
    <row r="58" customFormat="false" ht="117.75" hidden="false" customHeight="true" outlineLevel="0" collapsed="false">
      <c r="A58" s="8" t="s">
        <v>226</v>
      </c>
      <c r="B58" s="8" t="s">
        <v>221</v>
      </c>
      <c r="C58" s="8" t="s">
        <v>222</v>
      </c>
      <c r="D58" s="8" t="s">
        <v>223</v>
      </c>
      <c r="E58" s="8" t="s">
        <v>192</v>
      </c>
      <c r="F58" s="8" t="s">
        <v>193</v>
      </c>
      <c r="G58" s="8" t="s">
        <v>194</v>
      </c>
      <c r="H58" s="9"/>
      <c r="I58" s="9"/>
    </row>
    <row r="59" customFormat="false" ht="117.75" hidden="false" customHeight="true" outlineLevel="0" collapsed="false">
      <c r="A59" s="8" t="s">
        <v>227</v>
      </c>
      <c r="B59" s="8" t="s">
        <v>221</v>
      </c>
      <c r="C59" s="8" t="s">
        <v>222</v>
      </c>
      <c r="D59" s="8" t="s">
        <v>223</v>
      </c>
      <c r="E59" s="8" t="s">
        <v>228</v>
      </c>
      <c r="F59" s="8" t="s">
        <v>84</v>
      </c>
      <c r="G59" s="8" t="s">
        <v>229</v>
      </c>
      <c r="H59" s="9"/>
      <c r="I59" s="9"/>
    </row>
    <row r="60" customFormat="false" ht="117.75" hidden="false" customHeight="true" outlineLevel="0" collapsed="false">
      <c r="A60" s="8" t="s">
        <v>230</v>
      </c>
      <c r="B60" s="8" t="s">
        <v>231</v>
      </c>
      <c r="C60" s="8" t="s">
        <v>232</v>
      </c>
      <c r="D60" s="8" t="s">
        <v>233</v>
      </c>
      <c r="E60" s="8" t="s">
        <v>234</v>
      </c>
      <c r="F60" s="8" t="s">
        <v>235</v>
      </c>
      <c r="G60" s="8" t="s">
        <v>236</v>
      </c>
      <c r="H60" s="9"/>
      <c r="I60" s="9"/>
    </row>
    <row r="61" customFormat="false" ht="117.75" hidden="false" customHeight="true" outlineLevel="0" collapsed="false">
      <c r="A61" s="8" t="s">
        <v>237</v>
      </c>
      <c r="B61" s="8" t="s">
        <v>231</v>
      </c>
      <c r="C61" s="8" t="s">
        <v>232</v>
      </c>
      <c r="D61" s="8" t="s">
        <v>233</v>
      </c>
      <c r="E61" s="8" t="s">
        <v>238</v>
      </c>
      <c r="F61" s="8" t="s">
        <v>235</v>
      </c>
      <c r="G61" s="8" t="s">
        <v>239</v>
      </c>
      <c r="H61" s="9"/>
      <c r="I61" s="9"/>
    </row>
    <row r="62" customFormat="false" ht="117.75" hidden="false" customHeight="true" outlineLevel="0" collapsed="false">
      <c r="A62" s="8" t="s">
        <v>240</v>
      </c>
      <c r="B62" s="8" t="s">
        <v>231</v>
      </c>
      <c r="C62" s="8" t="s">
        <v>232</v>
      </c>
      <c r="D62" s="8" t="s">
        <v>233</v>
      </c>
      <c r="E62" s="8" t="s">
        <v>241</v>
      </c>
      <c r="F62" s="8" t="s">
        <v>242</v>
      </c>
      <c r="G62" s="8" t="s">
        <v>243</v>
      </c>
      <c r="H62" s="9"/>
      <c r="I62" s="9"/>
    </row>
    <row r="63" customFormat="false" ht="117.75" hidden="false" customHeight="true" outlineLevel="0" collapsed="false">
      <c r="A63" s="8" t="s">
        <v>244</v>
      </c>
      <c r="B63" s="8" t="s">
        <v>231</v>
      </c>
      <c r="C63" s="8" t="s">
        <v>232</v>
      </c>
      <c r="D63" s="8" t="s">
        <v>233</v>
      </c>
      <c r="E63" s="8" t="s">
        <v>245</v>
      </c>
      <c r="F63" s="8" t="s">
        <v>235</v>
      </c>
      <c r="G63" s="8" t="s">
        <v>246</v>
      </c>
      <c r="H63" s="9"/>
      <c r="I63" s="9"/>
    </row>
    <row r="64" customFormat="false" ht="117.75" hidden="false" customHeight="true" outlineLevel="0" collapsed="false">
      <c r="A64" s="8" t="s">
        <v>247</v>
      </c>
      <c r="B64" s="8" t="s">
        <v>248</v>
      </c>
      <c r="C64" s="8" t="s">
        <v>249</v>
      </c>
      <c r="D64" s="8" t="s">
        <v>250</v>
      </c>
      <c r="E64" s="8" t="s">
        <v>251</v>
      </c>
      <c r="F64" s="8" t="s">
        <v>242</v>
      </c>
      <c r="G64" s="8" t="s">
        <v>252</v>
      </c>
      <c r="H64" s="9"/>
      <c r="I64" s="9"/>
    </row>
    <row r="65" customFormat="false" ht="117.75" hidden="false" customHeight="true" outlineLevel="0" collapsed="false">
      <c r="A65" s="8" t="s">
        <v>253</v>
      </c>
      <c r="B65" s="8" t="s">
        <v>248</v>
      </c>
      <c r="C65" s="8" t="s">
        <v>249</v>
      </c>
      <c r="D65" s="8" t="s">
        <v>250</v>
      </c>
      <c r="E65" s="8" t="s">
        <v>254</v>
      </c>
      <c r="F65" s="8" t="s">
        <v>242</v>
      </c>
      <c r="G65" s="8" t="s">
        <v>255</v>
      </c>
      <c r="H65" s="9"/>
      <c r="I65" s="9"/>
    </row>
    <row r="66" customFormat="false" ht="117.75" hidden="false" customHeight="true" outlineLevel="0" collapsed="false">
      <c r="A66" s="8" t="s">
        <v>256</v>
      </c>
      <c r="B66" s="8" t="s">
        <v>248</v>
      </c>
      <c r="C66" s="8" t="s">
        <v>249</v>
      </c>
      <c r="D66" s="8" t="s">
        <v>250</v>
      </c>
      <c r="E66" s="8" t="s">
        <v>241</v>
      </c>
      <c r="F66" s="8" t="s">
        <v>242</v>
      </c>
      <c r="G66" s="8" t="s">
        <v>243</v>
      </c>
      <c r="H66" s="9"/>
      <c r="I66" s="9"/>
    </row>
    <row r="67" customFormat="false" ht="117.75" hidden="false" customHeight="true" outlineLevel="0" collapsed="false">
      <c r="A67" s="8" t="s">
        <v>257</v>
      </c>
      <c r="B67" s="8" t="s">
        <v>248</v>
      </c>
      <c r="C67" s="8" t="s">
        <v>249</v>
      </c>
      <c r="D67" s="8" t="s">
        <v>250</v>
      </c>
      <c r="E67" s="8" t="s">
        <v>258</v>
      </c>
      <c r="F67" s="8" t="s">
        <v>235</v>
      </c>
      <c r="G67" s="8" t="s">
        <v>259</v>
      </c>
      <c r="H67" s="9"/>
      <c r="I67" s="9"/>
    </row>
    <row r="68" customFormat="false" ht="117.75" hidden="false" customHeight="true" outlineLevel="0" collapsed="false">
      <c r="A68" s="8" t="s">
        <v>260</v>
      </c>
      <c r="B68" s="8" t="s">
        <v>261</v>
      </c>
      <c r="C68" s="8" t="s">
        <v>262</v>
      </c>
      <c r="D68" s="8" t="s">
        <v>263</v>
      </c>
      <c r="E68" s="8" t="s">
        <v>264</v>
      </c>
      <c r="F68" s="8" t="s">
        <v>106</v>
      </c>
      <c r="G68" s="8" t="s">
        <v>265</v>
      </c>
      <c r="H68" s="9"/>
      <c r="I68" s="9"/>
    </row>
    <row r="69" customFormat="false" ht="117.75" hidden="false" customHeight="true" outlineLevel="0" collapsed="false">
      <c r="A69" s="8" t="s">
        <v>266</v>
      </c>
      <c r="B69" s="8" t="s">
        <v>267</v>
      </c>
      <c r="C69" s="8" t="s">
        <v>268</v>
      </c>
      <c r="D69" s="8" t="s">
        <v>269</v>
      </c>
      <c r="E69" s="8" t="s">
        <v>270</v>
      </c>
      <c r="F69" s="8" t="s">
        <v>271</v>
      </c>
      <c r="G69" s="8" t="s">
        <v>272</v>
      </c>
      <c r="H69" s="9"/>
      <c r="I69" s="9"/>
    </row>
    <row r="70" customFormat="false" ht="117.75" hidden="false" customHeight="true" outlineLevel="0" collapsed="false">
      <c r="A70" s="8" t="s">
        <v>273</v>
      </c>
      <c r="B70" s="8" t="s">
        <v>267</v>
      </c>
      <c r="C70" s="8" t="s">
        <v>268</v>
      </c>
      <c r="D70" s="8" t="s">
        <v>269</v>
      </c>
      <c r="E70" s="8" t="s">
        <v>105</v>
      </c>
      <c r="F70" s="8" t="s">
        <v>106</v>
      </c>
      <c r="G70" s="8" t="s">
        <v>107</v>
      </c>
      <c r="H70" s="9"/>
      <c r="I70" s="9"/>
    </row>
    <row r="71" customFormat="false" ht="117.75" hidden="false" customHeight="true" outlineLevel="0" collapsed="false">
      <c r="A71" s="8" t="s">
        <v>274</v>
      </c>
      <c r="B71" s="8" t="s">
        <v>275</v>
      </c>
      <c r="C71" s="8" t="s">
        <v>276</v>
      </c>
      <c r="D71" s="8" t="s">
        <v>277</v>
      </c>
      <c r="E71" s="8" t="s">
        <v>278</v>
      </c>
      <c r="F71" s="8" t="s">
        <v>45</v>
      </c>
      <c r="G71" s="8" t="s">
        <v>279</v>
      </c>
      <c r="H71" s="9"/>
      <c r="I71" s="9"/>
    </row>
    <row r="72" customFormat="false" ht="117.75" hidden="false" customHeight="true" outlineLevel="0" collapsed="false">
      <c r="A72" s="8" t="s">
        <v>280</v>
      </c>
      <c r="B72" s="8" t="s">
        <v>281</v>
      </c>
      <c r="C72" s="8" t="s">
        <v>282</v>
      </c>
      <c r="D72" s="8" t="s">
        <v>283</v>
      </c>
      <c r="E72" s="8" t="s">
        <v>131</v>
      </c>
      <c r="F72" s="8" t="s">
        <v>41</v>
      </c>
      <c r="G72" s="8" t="s">
        <v>132</v>
      </c>
      <c r="H72" s="9"/>
      <c r="I72" s="9"/>
    </row>
    <row r="73" customFormat="false" ht="117.75" hidden="false" customHeight="true" outlineLevel="0" collapsed="false">
      <c r="A73" s="8" t="s">
        <v>284</v>
      </c>
      <c r="B73" s="8" t="s">
        <v>281</v>
      </c>
      <c r="C73" s="8" t="s">
        <v>282</v>
      </c>
      <c r="D73" s="8" t="s">
        <v>283</v>
      </c>
      <c r="E73" s="8" t="s">
        <v>65</v>
      </c>
      <c r="F73" s="8" t="s">
        <v>66</v>
      </c>
      <c r="G73" s="8" t="s">
        <v>67</v>
      </c>
      <c r="H73" s="9"/>
      <c r="I73" s="9"/>
    </row>
    <row r="74" customFormat="false" ht="117.75" hidden="false" customHeight="true" outlineLevel="0" collapsed="false">
      <c r="A74" s="8" t="s">
        <v>285</v>
      </c>
      <c r="B74" s="8" t="s">
        <v>281</v>
      </c>
      <c r="C74" s="8" t="s">
        <v>282</v>
      </c>
      <c r="D74" s="8" t="s">
        <v>283</v>
      </c>
      <c r="E74" s="8" t="s">
        <v>87</v>
      </c>
      <c r="F74" s="8" t="s">
        <v>88</v>
      </c>
      <c r="G74" s="8" t="s">
        <v>89</v>
      </c>
      <c r="H74" s="9"/>
      <c r="I74" s="9"/>
    </row>
    <row r="75" customFormat="false" ht="117.75" hidden="false" customHeight="true" outlineLevel="0" collapsed="false">
      <c r="A75" s="8" t="s">
        <v>286</v>
      </c>
      <c r="B75" s="8" t="s">
        <v>281</v>
      </c>
      <c r="C75" s="8" t="s">
        <v>282</v>
      </c>
      <c r="D75" s="8" t="s">
        <v>283</v>
      </c>
      <c r="E75" s="8" t="s">
        <v>287</v>
      </c>
      <c r="F75" s="8" t="s">
        <v>45</v>
      </c>
      <c r="G75" s="8" t="s">
        <v>288</v>
      </c>
      <c r="H75" s="9"/>
      <c r="I75" s="9"/>
    </row>
    <row r="76" customFormat="false" ht="117.75" hidden="false" customHeight="true" outlineLevel="0" collapsed="false">
      <c r="A76" s="8" t="s">
        <v>289</v>
      </c>
      <c r="B76" s="8" t="s">
        <v>281</v>
      </c>
      <c r="C76" s="8" t="s">
        <v>282</v>
      </c>
      <c r="D76" s="8" t="s">
        <v>283</v>
      </c>
      <c r="E76" s="8" t="s">
        <v>167</v>
      </c>
      <c r="F76" s="8" t="s">
        <v>101</v>
      </c>
      <c r="G76" s="8" t="s">
        <v>168</v>
      </c>
      <c r="H76" s="9"/>
      <c r="I76" s="9"/>
    </row>
    <row r="77" customFormat="false" ht="117.75" hidden="false" customHeight="true" outlineLevel="0" collapsed="false">
      <c r="A77" s="8" t="s">
        <v>290</v>
      </c>
      <c r="B77" s="8" t="s">
        <v>291</v>
      </c>
      <c r="C77" s="8" t="s">
        <v>292</v>
      </c>
      <c r="D77" s="8" t="s">
        <v>293</v>
      </c>
      <c r="E77" s="8" t="s">
        <v>192</v>
      </c>
      <c r="F77" s="8" t="s">
        <v>193</v>
      </c>
      <c r="G77" s="8" t="s">
        <v>194</v>
      </c>
      <c r="H77" s="9"/>
      <c r="I77" s="9"/>
    </row>
    <row r="78" customFormat="false" ht="117.75" hidden="false" customHeight="true" outlineLevel="0" collapsed="false">
      <c r="A78" s="8" t="s">
        <v>294</v>
      </c>
      <c r="B78" s="8" t="s">
        <v>291</v>
      </c>
      <c r="C78" s="8" t="s">
        <v>292</v>
      </c>
      <c r="D78" s="8" t="s">
        <v>293</v>
      </c>
      <c r="E78" s="8" t="s">
        <v>264</v>
      </c>
      <c r="F78" s="8" t="s">
        <v>106</v>
      </c>
      <c r="G78" s="8" t="s">
        <v>265</v>
      </c>
      <c r="H78" s="9"/>
      <c r="I78" s="9"/>
    </row>
    <row r="79" customFormat="false" ht="117.75" hidden="false" customHeight="true" outlineLevel="0" collapsed="false">
      <c r="A79" s="8" t="s">
        <v>295</v>
      </c>
      <c r="B79" s="8" t="s">
        <v>296</v>
      </c>
      <c r="C79" s="8" t="s">
        <v>297</v>
      </c>
      <c r="D79" s="8" t="s">
        <v>298</v>
      </c>
      <c r="E79" s="8" t="s">
        <v>109</v>
      </c>
      <c r="F79" s="8" t="s">
        <v>59</v>
      </c>
      <c r="G79" s="8" t="s">
        <v>110</v>
      </c>
      <c r="H79" s="9"/>
      <c r="I79" s="9"/>
    </row>
    <row r="80" customFormat="false" ht="117.75" hidden="false" customHeight="true" outlineLevel="0" collapsed="false">
      <c r="A80" s="8" t="s">
        <v>299</v>
      </c>
      <c r="B80" s="8" t="s">
        <v>296</v>
      </c>
      <c r="C80" s="8" t="s">
        <v>297</v>
      </c>
      <c r="D80" s="8" t="s">
        <v>298</v>
      </c>
      <c r="E80" s="8" t="s">
        <v>134</v>
      </c>
      <c r="F80" s="8" t="s">
        <v>122</v>
      </c>
      <c r="G80" s="8" t="s">
        <v>135</v>
      </c>
      <c r="H80" s="9"/>
      <c r="I80" s="9"/>
    </row>
    <row r="81" customFormat="false" ht="117.75" hidden="false" customHeight="true" outlineLevel="0" collapsed="false">
      <c r="A81" s="8" t="s">
        <v>300</v>
      </c>
      <c r="B81" s="8" t="s">
        <v>296</v>
      </c>
      <c r="C81" s="8" t="s">
        <v>297</v>
      </c>
      <c r="D81" s="8" t="s">
        <v>298</v>
      </c>
      <c r="E81" s="8" t="s">
        <v>301</v>
      </c>
      <c r="F81" s="8" t="s">
        <v>271</v>
      </c>
      <c r="G81" s="8" t="s">
        <v>302</v>
      </c>
      <c r="H81" s="9"/>
      <c r="I81" s="9"/>
    </row>
    <row r="82" customFormat="false" ht="117.75" hidden="false" customHeight="true" outlineLevel="0" collapsed="false">
      <c r="A82" s="8" t="s">
        <v>303</v>
      </c>
      <c r="B82" s="8" t="s">
        <v>304</v>
      </c>
      <c r="C82" s="8" t="s">
        <v>305</v>
      </c>
      <c r="D82" s="8" t="s">
        <v>306</v>
      </c>
      <c r="E82" s="8" t="s">
        <v>79</v>
      </c>
      <c r="F82" s="8" t="s">
        <v>80</v>
      </c>
      <c r="G82" s="8" t="s">
        <v>81</v>
      </c>
      <c r="H82" s="9"/>
      <c r="I82" s="9"/>
    </row>
    <row r="83" customFormat="false" ht="117.75" hidden="false" customHeight="true" outlineLevel="0" collapsed="false">
      <c r="A83" s="8" t="s">
        <v>307</v>
      </c>
      <c r="B83" s="8" t="s">
        <v>304</v>
      </c>
      <c r="C83" s="8" t="s">
        <v>305</v>
      </c>
      <c r="D83" s="8" t="s">
        <v>306</v>
      </c>
      <c r="E83" s="8" t="s">
        <v>65</v>
      </c>
      <c r="F83" s="8" t="s">
        <v>66</v>
      </c>
      <c r="G83" s="8" t="s">
        <v>67</v>
      </c>
      <c r="H83" s="9"/>
      <c r="I83" s="9"/>
    </row>
    <row r="84" customFormat="false" ht="117.75" hidden="false" customHeight="true" outlineLevel="0" collapsed="false">
      <c r="A84" s="8" t="s">
        <v>308</v>
      </c>
      <c r="B84" s="8" t="s">
        <v>304</v>
      </c>
      <c r="C84" s="8" t="s">
        <v>305</v>
      </c>
      <c r="D84" s="8" t="s">
        <v>306</v>
      </c>
      <c r="E84" s="8" t="s">
        <v>87</v>
      </c>
      <c r="F84" s="8" t="s">
        <v>88</v>
      </c>
      <c r="G84" s="8" t="s">
        <v>89</v>
      </c>
      <c r="H84" s="9"/>
      <c r="I84" s="9"/>
    </row>
    <row r="85" customFormat="false" ht="117.75" hidden="false" customHeight="true" outlineLevel="0" collapsed="false">
      <c r="A85" s="8" t="s">
        <v>309</v>
      </c>
      <c r="B85" s="8" t="s">
        <v>310</v>
      </c>
      <c r="C85" s="8" t="s">
        <v>311</v>
      </c>
      <c r="D85" s="8" t="s">
        <v>312</v>
      </c>
      <c r="E85" s="8" t="s">
        <v>213</v>
      </c>
      <c r="F85" s="8" t="s">
        <v>80</v>
      </c>
      <c r="G85" s="8" t="s">
        <v>214</v>
      </c>
      <c r="H85" s="9"/>
      <c r="I85" s="9"/>
    </row>
    <row r="86" customFormat="false" ht="117.75" hidden="false" customHeight="true" outlineLevel="0" collapsed="false">
      <c r="A86" s="8" t="s">
        <v>313</v>
      </c>
      <c r="B86" s="8" t="s">
        <v>310</v>
      </c>
      <c r="C86" s="8" t="s">
        <v>311</v>
      </c>
      <c r="D86" s="8" t="s">
        <v>312</v>
      </c>
      <c r="E86" s="8" t="s">
        <v>314</v>
      </c>
      <c r="F86" s="8" t="s">
        <v>34</v>
      </c>
      <c r="G86" s="8" t="s">
        <v>315</v>
      </c>
      <c r="H86" s="9"/>
      <c r="I86" s="9"/>
    </row>
    <row r="87" customFormat="false" ht="117.75" hidden="false" customHeight="true" outlineLevel="0" collapsed="false">
      <c r="A87" s="8" t="s">
        <v>316</v>
      </c>
      <c r="B87" s="8" t="s">
        <v>310</v>
      </c>
      <c r="C87" s="8" t="s">
        <v>311</v>
      </c>
      <c r="D87" s="8" t="s">
        <v>312</v>
      </c>
      <c r="E87" s="8" t="s">
        <v>155</v>
      </c>
      <c r="F87" s="8" t="s">
        <v>106</v>
      </c>
      <c r="G87" s="8" t="s">
        <v>156</v>
      </c>
      <c r="H87" s="9"/>
      <c r="I87" s="9"/>
    </row>
    <row r="88" customFormat="false" ht="117.75" hidden="false" customHeight="true" outlineLevel="0" collapsed="false">
      <c r="A88" s="8" t="s">
        <v>317</v>
      </c>
      <c r="B88" s="8" t="s">
        <v>318</v>
      </c>
      <c r="C88" s="8" t="s">
        <v>319</v>
      </c>
      <c r="D88" s="8" t="s">
        <v>320</v>
      </c>
      <c r="E88" s="8" t="s">
        <v>118</v>
      </c>
      <c r="F88" s="8" t="s">
        <v>34</v>
      </c>
      <c r="G88" s="8" t="s">
        <v>119</v>
      </c>
      <c r="H88" s="9"/>
      <c r="I88" s="9"/>
    </row>
    <row r="89" customFormat="false" ht="117.75" hidden="false" customHeight="true" outlineLevel="0" collapsed="false">
      <c r="A89" s="8" t="s">
        <v>321</v>
      </c>
      <c r="B89" s="8" t="s">
        <v>318</v>
      </c>
      <c r="C89" s="8" t="s">
        <v>319</v>
      </c>
      <c r="D89" s="8" t="s">
        <v>320</v>
      </c>
      <c r="E89" s="8" t="s">
        <v>322</v>
      </c>
      <c r="F89" s="8" t="s">
        <v>34</v>
      </c>
      <c r="G89" s="8" t="s">
        <v>323</v>
      </c>
      <c r="H89" s="9"/>
      <c r="I89" s="9"/>
    </row>
    <row r="90" customFormat="false" ht="117.75" hidden="false" customHeight="true" outlineLevel="0" collapsed="false">
      <c r="A90" s="8" t="s">
        <v>324</v>
      </c>
      <c r="B90" s="8" t="s">
        <v>318</v>
      </c>
      <c r="C90" s="8" t="s">
        <v>319</v>
      </c>
      <c r="D90" s="8" t="s">
        <v>320</v>
      </c>
      <c r="E90" s="8" t="s">
        <v>72</v>
      </c>
      <c r="F90" s="8" t="s">
        <v>59</v>
      </c>
      <c r="G90" s="8" t="s">
        <v>73</v>
      </c>
      <c r="H90" s="9"/>
      <c r="I90" s="9"/>
    </row>
    <row r="91" customFormat="false" ht="117.75" hidden="false" customHeight="true" outlineLevel="0" collapsed="false">
      <c r="A91" s="8" t="s">
        <v>325</v>
      </c>
      <c r="B91" s="8" t="s">
        <v>326</v>
      </c>
      <c r="C91" s="8" t="s">
        <v>327</v>
      </c>
      <c r="D91" s="8" t="s">
        <v>328</v>
      </c>
      <c r="E91" s="8" t="s">
        <v>329</v>
      </c>
      <c r="F91" s="8" t="s">
        <v>330</v>
      </c>
      <c r="G91" s="8" t="s">
        <v>331</v>
      </c>
      <c r="H91" s="9"/>
      <c r="I91" s="9"/>
    </row>
    <row r="92" customFormat="false" ht="117.75" hidden="false" customHeight="true" outlineLevel="0" collapsed="false">
      <c r="A92" s="8" t="s">
        <v>332</v>
      </c>
      <c r="B92" s="8" t="s">
        <v>326</v>
      </c>
      <c r="C92" s="8" t="s">
        <v>327</v>
      </c>
      <c r="D92" s="8" t="s">
        <v>328</v>
      </c>
      <c r="E92" s="8" t="s">
        <v>238</v>
      </c>
      <c r="F92" s="8" t="s">
        <v>235</v>
      </c>
      <c r="G92" s="8" t="s">
        <v>239</v>
      </c>
      <c r="H92" s="9"/>
      <c r="I92" s="9"/>
    </row>
    <row r="93" customFormat="false" ht="117.75" hidden="false" customHeight="true" outlineLevel="0" collapsed="false">
      <c r="A93" s="8" t="s">
        <v>333</v>
      </c>
      <c r="B93" s="8" t="s">
        <v>326</v>
      </c>
      <c r="C93" s="8" t="s">
        <v>327</v>
      </c>
      <c r="D93" s="8" t="s">
        <v>328</v>
      </c>
      <c r="E93" s="8" t="s">
        <v>334</v>
      </c>
      <c r="F93" s="8" t="s">
        <v>101</v>
      </c>
      <c r="G93" s="8" t="s">
        <v>335</v>
      </c>
      <c r="H93" s="9"/>
      <c r="I93" s="9"/>
    </row>
    <row r="94" customFormat="false" ht="117.75" hidden="false" customHeight="true" outlineLevel="0" collapsed="false">
      <c r="A94" s="8" t="s">
        <v>336</v>
      </c>
      <c r="B94" s="8" t="s">
        <v>337</v>
      </c>
      <c r="C94" s="8" t="s">
        <v>338</v>
      </c>
      <c r="D94" s="8" t="s">
        <v>339</v>
      </c>
      <c r="E94" s="8" t="s">
        <v>65</v>
      </c>
      <c r="F94" s="8" t="s">
        <v>66</v>
      </c>
      <c r="G94" s="8" t="s">
        <v>67</v>
      </c>
      <c r="H94" s="9"/>
      <c r="I94" s="9"/>
    </row>
    <row r="95" customFormat="false" ht="117.75" hidden="false" customHeight="true" outlineLevel="0" collapsed="false">
      <c r="A95" s="8" t="s">
        <v>340</v>
      </c>
      <c r="B95" s="8" t="s">
        <v>337</v>
      </c>
      <c r="C95" s="8" t="s">
        <v>338</v>
      </c>
      <c r="D95" s="8" t="s">
        <v>339</v>
      </c>
      <c r="E95" s="8" t="s">
        <v>109</v>
      </c>
      <c r="F95" s="8" t="s">
        <v>59</v>
      </c>
      <c r="G95" s="8" t="s">
        <v>110</v>
      </c>
      <c r="H95" s="9"/>
      <c r="I95" s="9"/>
    </row>
    <row r="96" customFormat="false" ht="117.75" hidden="false" customHeight="true" outlineLevel="0" collapsed="false">
      <c r="A96" s="8" t="s">
        <v>341</v>
      </c>
      <c r="B96" s="8" t="s">
        <v>337</v>
      </c>
      <c r="C96" s="8" t="s">
        <v>338</v>
      </c>
      <c r="D96" s="8" t="s">
        <v>339</v>
      </c>
      <c r="E96" s="8" t="s">
        <v>121</v>
      </c>
      <c r="F96" s="8" t="s">
        <v>122</v>
      </c>
      <c r="G96" s="8" t="s">
        <v>123</v>
      </c>
      <c r="H96" s="9"/>
      <c r="I96" s="9"/>
    </row>
    <row r="97" customFormat="false" ht="117.75" hidden="false" customHeight="true" outlineLevel="0" collapsed="false">
      <c r="A97" s="8" t="s">
        <v>342</v>
      </c>
      <c r="B97" s="8" t="s">
        <v>337</v>
      </c>
      <c r="C97" s="8" t="s">
        <v>338</v>
      </c>
      <c r="D97" s="8" t="s">
        <v>339</v>
      </c>
      <c r="E97" s="8" t="s">
        <v>91</v>
      </c>
      <c r="F97" s="8" t="s">
        <v>55</v>
      </c>
      <c r="G97" s="8" t="s">
        <v>92</v>
      </c>
      <c r="H97" s="9"/>
      <c r="I97" s="9"/>
    </row>
    <row r="98" customFormat="false" ht="117.75" hidden="false" customHeight="true" outlineLevel="0" collapsed="false">
      <c r="A98" s="8" t="s">
        <v>343</v>
      </c>
      <c r="B98" s="8" t="s">
        <v>344</v>
      </c>
      <c r="C98" s="8" t="s">
        <v>345</v>
      </c>
      <c r="D98" s="8" t="s">
        <v>346</v>
      </c>
      <c r="E98" s="8" t="s">
        <v>44</v>
      </c>
      <c r="F98" s="8" t="s">
        <v>45</v>
      </c>
      <c r="G98" s="8" t="s">
        <v>46</v>
      </c>
      <c r="H98" s="9"/>
      <c r="I98" s="9"/>
    </row>
    <row r="99" customFormat="false" ht="117.75" hidden="false" customHeight="true" outlineLevel="0" collapsed="false">
      <c r="A99" s="8" t="s">
        <v>347</v>
      </c>
      <c r="B99" s="8" t="s">
        <v>344</v>
      </c>
      <c r="C99" s="8" t="s">
        <v>345</v>
      </c>
      <c r="D99" s="8" t="s">
        <v>346</v>
      </c>
      <c r="E99" s="8" t="s">
        <v>348</v>
      </c>
      <c r="F99" s="8" t="s">
        <v>45</v>
      </c>
      <c r="G99" s="8" t="s">
        <v>349</v>
      </c>
      <c r="H99" s="9"/>
      <c r="I99" s="9"/>
    </row>
    <row r="100" customFormat="false" ht="117.75" hidden="false" customHeight="true" outlineLevel="0" collapsed="false">
      <c r="A100" s="8" t="s">
        <v>350</v>
      </c>
      <c r="B100" s="8" t="s">
        <v>344</v>
      </c>
      <c r="C100" s="8" t="s">
        <v>345</v>
      </c>
      <c r="D100" s="8" t="s">
        <v>346</v>
      </c>
      <c r="E100" s="8" t="s">
        <v>109</v>
      </c>
      <c r="F100" s="8" t="s">
        <v>59</v>
      </c>
      <c r="G100" s="8" t="s">
        <v>110</v>
      </c>
      <c r="H100" s="9"/>
      <c r="I100" s="9"/>
    </row>
    <row r="101" customFormat="false" ht="117.75" hidden="false" customHeight="true" outlineLevel="0" collapsed="false">
      <c r="A101" s="8" t="s">
        <v>351</v>
      </c>
      <c r="B101" s="8" t="s">
        <v>352</v>
      </c>
      <c r="C101" s="8" t="s">
        <v>353</v>
      </c>
      <c r="D101" s="8" t="s">
        <v>354</v>
      </c>
      <c r="E101" s="8" t="s">
        <v>213</v>
      </c>
      <c r="F101" s="8" t="s">
        <v>80</v>
      </c>
      <c r="G101" s="8" t="s">
        <v>214</v>
      </c>
      <c r="H101" s="9"/>
      <c r="I101" s="9"/>
    </row>
    <row r="102" customFormat="false" ht="117.75" hidden="false" customHeight="true" outlineLevel="0" collapsed="false">
      <c r="A102" s="8" t="s">
        <v>355</v>
      </c>
      <c r="B102" s="8" t="s">
        <v>352</v>
      </c>
      <c r="C102" s="8" t="s">
        <v>353</v>
      </c>
      <c r="D102" s="8" t="s">
        <v>354</v>
      </c>
      <c r="E102" s="8" t="s">
        <v>65</v>
      </c>
      <c r="F102" s="8" t="s">
        <v>66</v>
      </c>
      <c r="G102" s="8" t="s">
        <v>67</v>
      </c>
      <c r="H102" s="9"/>
      <c r="I102" s="9"/>
    </row>
    <row r="103" customFormat="false" ht="117.75" hidden="false" customHeight="true" outlineLevel="0" collapsed="false">
      <c r="A103" s="8" t="s">
        <v>356</v>
      </c>
      <c r="B103" s="8" t="s">
        <v>357</v>
      </c>
      <c r="C103" s="8" t="s">
        <v>358</v>
      </c>
      <c r="D103" s="8" t="s">
        <v>359</v>
      </c>
      <c r="E103" s="8" t="s">
        <v>69</v>
      </c>
      <c r="F103" s="8" t="s">
        <v>59</v>
      </c>
      <c r="G103" s="8" t="s">
        <v>70</v>
      </c>
      <c r="H103" s="9"/>
      <c r="I103" s="9"/>
    </row>
    <row r="104" customFormat="false" ht="117.75" hidden="false" customHeight="true" outlineLevel="0" collapsed="false">
      <c r="A104" s="8" t="s">
        <v>360</v>
      </c>
      <c r="B104" s="8" t="s">
        <v>357</v>
      </c>
      <c r="C104" s="8" t="s">
        <v>358</v>
      </c>
      <c r="D104" s="8" t="s">
        <v>359</v>
      </c>
      <c r="E104" s="8" t="s">
        <v>264</v>
      </c>
      <c r="F104" s="8" t="s">
        <v>106</v>
      </c>
      <c r="G104" s="8" t="s">
        <v>265</v>
      </c>
      <c r="H104" s="9"/>
      <c r="I104" s="9"/>
    </row>
    <row r="105" customFormat="false" ht="117.75" hidden="false" customHeight="true" outlineLevel="0" collapsed="false">
      <c r="A105" s="8" t="s">
        <v>361</v>
      </c>
      <c r="B105" s="8" t="s">
        <v>362</v>
      </c>
      <c r="C105" s="8" t="s">
        <v>363</v>
      </c>
      <c r="D105" s="8" t="s">
        <v>364</v>
      </c>
      <c r="E105" s="8" t="s">
        <v>213</v>
      </c>
      <c r="F105" s="8" t="s">
        <v>80</v>
      </c>
      <c r="G105" s="8" t="s">
        <v>214</v>
      </c>
      <c r="H105" s="9"/>
      <c r="I105" s="9"/>
    </row>
    <row r="106" customFormat="false" ht="117.75" hidden="false" customHeight="true" outlineLevel="0" collapsed="false">
      <c r="A106" s="8" t="s">
        <v>365</v>
      </c>
      <c r="B106" s="8" t="s">
        <v>362</v>
      </c>
      <c r="C106" s="8" t="s">
        <v>363</v>
      </c>
      <c r="D106" s="8" t="s">
        <v>364</v>
      </c>
      <c r="E106" s="8" t="s">
        <v>79</v>
      </c>
      <c r="F106" s="8" t="s">
        <v>80</v>
      </c>
      <c r="G106" s="8" t="s">
        <v>81</v>
      </c>
      <c r="H106" s="9"/>
      <c r="I106" s="9"/>
    </row>
    <row r="107" customFormat="false" ht="117.75" hidden="false" customHeight="true" outlineLevel="0" collapsed="false">
      <c r="A107" s="8" t="s">
        <v>366</v>
      </c>
      <c r="B107" s="8" t="s">
        <v>362</v>
      </c>
      <c r="C107" s="8" t="s">
        <v>363</v>
      </c>
      <c r="D107" s="8" t="s">
        <v>364</v>
      </c>
      <c r="E107" s="8" t="s">
        <v>192</v>
      </c>
      <c r="F107" s="8" t="s">
        <v>193</v>
      </c>
      <c r="G107" s="8" t="s">
        <v>194</v>
      </c>
      <c r="H107" s="9"/>
      <c r="I107" s="9"/>
    </row>
    <row r="108" customFormat="false" ht="117.75" hidden="false" customHeight="true" outlineLevel="0" collapsed="false">
      <c r="A108" s="8" t="s">
        <v>367</v>
      </c>
      <c r="B108" s="8" t="s">
        <v>362</v>
      </c>
      <c r="C108" s="8" t="s">
        <v>363</v>
      </c>
      <c r="D108" s="8" t="s">
        <v>364</v>
      </c>
      <c r="E108" s="8" t="s">
        <v>368</v>
      </c>
      <c r="F108" s="8" t="s">
        <v>193</v>
      </c>
      <c r="G108" s="8" t="s">
        <v>369</v>
      </c>
      <c r="H108" s="9"/>
      <c r="I108" s="9"/>
    </row>
    <row r="109" customFormat="false" ht="117.75" hidden="false" customHeight="true" outlineLevel="0" collapsed="false">
      <c r="A109" s="8" t="s">
        <v>370</v>
      </c>
      <c r="B109" s="8" t="s">
        <v>371</v>
      </c>
      <c r="C109" s="8" t="s">
        <v>372</v>
      </c>
      <c r="D109" s="8" t="s">
        <v>373</v>
      </c>
      <c r="E109" s="8" t="s">
        <v>264</v>
      </c>
      <c r="F109" s="8" t="s">
        <v>106</v>
      </c>
      <c r="G109" s="8" t="s">
        <v>265</v>
      </c>
      <c r="H109" s="9"/>
      <c r="I109" s="9"/>
    </row>
    <row r="110" customFormat="false" ht="117.75" hidden="false" customHeight="true" outlineLevel="0" collapsed="false">
      <c r="A110" s="8" t="s">
        <v>374</v>
      </c>
      <c r="B110" s="8" t="s">
        <v>371</v>
      </c>
      <c r="C110" s="8" t="s">
        <v>372</v>
      </c>
      <c r="D110" s="8" t="s">
        <v>373</v>
      </c>
      <c r="E110" s="8" t="s">
        <v>115</v>
      </c>
      <c r="F110" s="8" t="s">
        <v>80</v>
      </c>
      <c r="G110" s="8" t="s">
        <v>116</v>
      </c>
      <c r="H110" s="9"/>
      <c r="I110" s="9"/>
    </row>
    <row r="111" customFormat="false" ht="117.75" hidden="false" customHeight="true" outlineLevel="0" collapsed="false">
      <c r="A111" s="8" t="s">
        <v>375</v>
      </c>
      <c r="B111" s="8" t="s">
        <v>371</v>
      </c>
      <c r="C111" s="8" t="s">
        <v>372</v>
      </c>
      <c r="D111" s="8" t="s">
        <v>373</v>
      </c>
      <c r="E111" s="8" t="s">
        <v>376</v>
      </c>
      <c r="F111" s="8" t="s">
        <v>217</v>
      </c>
      <c r="G111" s="8" t="s">
        <v>377</v>
      </c>
      <c r="H111" s="9"/>
      <c r="I111" s="9"/>
    </row>
    <row r="112" customFormat="false" ht="117.75" hidden="false" customHeight="true" outlineLevel="0" collapsed="false">
      <c r="A112" s="8" t="s">
        <v>378</v>
      </c>
      <c r="B112" s="8" t="s">
        <v>371</v>
      </c>
      <c r="C112" s="8" t="s">
        <v>372</v>
      </c>
      <c r="D112" s="8" t="s">
        <v>373</v>
      </c>
      <c r="E112" s="8" t="s">
        <v>379</v>
      </c>
      <c r="F112" s="8" t="s">
        <v>380</v>
      </c>
      <c r="G112" s="8" t="s">
        <v>381</v>
      </c>
      <c r="H112" s="9"/>
      <c r="I112" s="9"/>
    </row>
    <row r="113" customFormat="false" ht="117.75" hidden="false" customHeight="true" outlineLevel="0" collapsed="false">
      <c r="A113" s="8" t="s">
        <v>382</v>
      </c>
      <c r="B113" s="8" t="s">
        <v>371</v>
      </c>
      <c r="C113" s="8" t="s">
        <v>372</v>
      </c>
      <c r="D113" s="8" t="s">
        <v>373</v>
      </c>
      <c r="E113" s="8" t="s">
        <v>33</v>
      </c>
      <c r="F113" s="8" t="s">
        <v>34</v>
      </c>
      <c r="G113" s="8" t="s">
        <v>35</v>
      </c>
      <c r="H113" s="9"/>
      <c r="I113" s="9"/>
    </row>
    <row r="114" customFormat="false" ht="117.75" hidden="false" customHeight="true" outlineLevel="0" collapsed="false">
      <c r="A114" s="8" t="s">
        <v>383</v>
      </c>
      <c r="B114" s="8" t="s">
        <v>371</v>
      </c>
      <c r="C114" s="8" t="s">
        <v>372</v>
      </c>
      <c r="D114" s="8" t="s">
        <v>373</v>
      </c>
      <c r="E114" s="8" t="s">
        <v>384</v>
      </c>
      <c r="F114" s="8" t="s">
        <v>330</v>
      </c>
      <c r="G114" s="8" t="s">
        <v>385</v>
      </c>
      <c r="H114" s="9"/>
      <c r="I114" s="9"/>
    </row>
    <row r="115" customFormat="false" ht="117.75" hidden="false" customHeight="true" outlineLevel="0" collapsed="false">
      <c r="A115" s="8" t="s">
        <v>386</v>
      </c>
      <c r="B115" s="8" t="s">
        <v>371</v>
      </c>
      <c r="C115" s="8" t="s">
        <v>372</v>
      </c>
      <c r="D115" s="8" t="s">
        <v>373</v>
      </c>
      <c r="E115" s="8" t="s">
        <v>118</v>
      </c>
      <c r="F115" s="8" t="s">
        <v>34</v>
      </c>
      <c r="G115" s="8" t="s">
        <v>119</v>
      </c>
      <c r="H115" s="9"/>
      <c r="I115" s="9"/>
    </row>
  </sheetData>
  <autoFilter ref="A1:I115"/>
  <dataValidations count="1">
    <dataValidation allowBlank="true" error="Enter 2, 1, 0, or U" errorStyle="stop" errorTitle="Invalid grade" operator="between" showDropDown="false" showErrorMessage="false" showInputMessage="false" sqref="H2:H115" type="list">
      <formula1>"2,1,0,U"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s>
  <sheetData>
    <row r="1" customFormat="false" ht="15" hidden="false" customHeight="false" outlineLevel="0" collapsed="false">
      <c r="A1" s="10" t="s">
        <v>387</v>
      </c>
      <c r="B1" s="10" t="s">
        <v>388</v>
      </c>
    </row>
    <row r="2" customFormat="false" ht="15" hidden="false" customHeight="false" outlineLevel="0" collapsed="false">
      <c r="A2" s="11" t="s">
        <v>389</v>
      </c>
      <c r="B2" s="11" t="n">
        <v>114</v>
      </c>
    </row>
    <row r="3" customFormat="false" ht="15" hidden="false" customHeight="false" outlineLevel="0" collapsed="false">
      <c r="A3" s="11" t="s">
        <v>390</v>
      </c>
      <c r="B3" s="11" t="n">
        <f aca="false">COUNTA(Regrade!H2:H115)</f>
        <v>0</v>
      </c>
    </row>
    <row r="4" customFormat="false" ht="15" hidden="false" customHeight="false" outlineLevel="0" collapsed="false">
      <c r="A4" s="11" t="s">
        <v>391</v>
      </c>
      <c r="B4" s="11" t="n">
        <f aca="false">COUNTBLANK(Regrade!H2:H115)</f>
        <v>114</v>
      </c>
    </row>
    <row r="5" customFormat="false" ht="15" hidden="false" customHeight="false" outlineLevel="0" collapsed="false">
      <c r="A5" s="11" t="s">
        <v>392</v>
      </c>
      <c r="B5" s="11" t="n">
        <f aca="false">COUNTIF(Regrade!H2:H115,2)</f>
        <v>0</v>
      </c>
    </row>
    <row r="6" customFormat="false" ht="15" hidden="false" customHeight="false" outlineLevel="0" collapsed="false">
      <c r="A6" s="11" t="s">
        <v>393</v>
      </c>
      <c r="B6" s="11" t="n">
        <f aca="false">COUNTIF(Regrade!H2:H115,1)</f>
        <v>0</v>
      </c>
    </row>
    <row r="7" customFormat="false" ht="15" hidden="false" customHeight="false" outlineLevel="0" collapsed="false">
      <c r="A7" s="11" t="s">
        <v>394</v>
      </c>
      <c r="B7" s="11" t="n">
        <f aca="false">COUNTIF(Regrade!H2:H115,0)</f>
        <v>0</v>
      </c>
    </row>
    <row r="8" customFormat="false" ht="15" hidden="false" customHeight="false" outlineLevel="0" collapsed="false">
      <c r="A8" s="11" t="s">
        <v>395</v>
      </c>
      <c r="B8" s="11" t="n">
        <f aca="false">COUNTIF(Regrade!H2:H115,"U")</f>
        <v>0</v>
      </c>
    </row>
    <row r="9" customFormat="false" ht="15" hidden="false" customHeight="false" outlineLevel="0" collapsed="false">
      <c r="A9" s="11" t="s">
        <v>396</v>
      </c>
      <c r="B9" s="11" t="n">
        <f aca="false">COUNTA(Regrade!I2:I115)</f>
        <v>0</v>
      </c>
    </row>
    <row r="10" customFormat="false" ht="15" hidden="false" customHeight="false" outlineLevel="0" collapsed="false">
      <c r="A10" s="11" t="s">
        <v>397</v>
      </c>
      <c r="B10" s="12" t="n">
        <f aca="false">COUNTA(Regrade!H2:H115)/114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2026-07-27T19:44:53Z</dcterms:created>
  <dc:creator>openpyxl</dc:creator>
  <dc:description/>
  <dc:language>en-US</dc:language>
  <cp:lastModifiedBy/>
  <dcterms:modified xsi:type="dcterms:W3CDTF">2026-07-27T19:44:53Z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