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udging" sheetId="1" state="visible" r:id="rId3"/>
    <sheet name="Instructions" sheetId="2" state="visible" r:id="rId4"/>
    <sheet name="Progress"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<sst xmlns="http://schemas.openxmlformats.org/spreadsheetml/2006/main" count="6127" uniqueCount="1154">
  <si>
    <t xml:space="preserve">display_id</t>
  </si>
  <si>
    <t xml:space="preserve">query_id</t>
  </si>
  <si>
    <t xml:space="preserve">question</t>
  </si>
  <si>
    <t xml:space="preserve">reference_answer</t>
  </si>
  <si>
    <t xml:space="preserve">chunk_id</t>
  </si>
  <si>
    <t xml:space="preserve">source_document_title</t>
  </si>
  <si>
    <t xml:space="preserve">candidate_chunk</t>
  </si>
  <si>
    <t xml:space="preserve">relevance_grade</t>
  </si>
  <si>
    <t xml:space="preserve">rationale</t>
  </si>
  <si>
    <t xml:space="preserve">batch</t>
  </si>
  <si>
    <t xml:space="preserve">status</t>
  </si>
  <si>
    <t xml:space="preserve">v2q-001-candidate-19</t>
  </si>
  <si>
    <t xml:space="preserve">v2q-001</t>
  </si>
  <si>
    <t xml:space="preserve">What is the minimum house size specified under PMAY-G?</t>
  </si>
  <si>
    <t xml:space="preserve">The minimum house size is 25 square metres, including a dedicated hygienic cooking area.</t>
  </si>
  <si>
    <t xml:space="preserve">pilot-v2-doc-pm-gkay-0000-c29b96f46a80</t>
  </si>
  <si>
    <t xml:space="preserve">Pradhan Mantri Garib Kalyan Anna Yojana</t>
  </si>
  <si>
    <t xml:space="preserve">Pradhan Mantri Garib Kalyan Anna Yojana. Ministry Of Finance. Department Of Economic Affairs. The scheme "Pradhan Mantri Garib Kalyan Anna Yojana (PMGKAY)" has been launched by the Department of Food and Public Distribution, Ministry of Consumer Affairs, Food and Public Distribution, Government of India, and aims to ensure food security for the poor and vulnerable sections of the country by providing free food foodgrains. It was announced on 26 March 2020 during the COVID-19 pandemic and is operated by the Department of Food and Public Distribution under the Ministry of Consumer Affairs, Food and Public Distribution. Through this scheme, free foodgrains (rice or wheat, depending on the State) are provided to eligible ration card holders covered under the National Food Security Act, 2013, namely Antyodaya Anna Yojana (AAY) households and Priority Households (PHH). From 1 January 2023, the scheme was integrated into the food security framework, and foodgrains earlier given at the highly subsidised rates of ₹1, ₹2, and ₹3 per kilogram for coarse cereals, wheat, and rice, respectively, are now provided free of cost. The scheme has been extended by the Union Cabinet for 5 years starting from 1 January 2024 and is approved for continuation till 31 December 2028, with a total financial outlay of ₹11.80 lakh crore (₹11,80,000 crore). The scheme is implemented through the Targeted Public Distribution System (TPDS) by the state governments and Union Territory Administrations, with foodgrain allocation by the Government of India.. The 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t>
  </si>
  <si>
    <t xml:space="preserve">0</t>
  </si>
  <si>
    <t xml:space="preserve">v2q-004-candidate-10</t>
  </si>
  <si>
    <t xml:space="preserve">v2q-004</t>
  </si>
  <si>
    <t xml:space="preserve">What is the maximum micro-loan amount stated for PMMY?</t>
  </si>
  <si>
    <t xml:space="preserve">PMMY facilitates micro-credit loans up to ₹20 lakh for eligible income-generating micro-enterprises.</t>
  </si>
  <si>
    <t xml:space="preserve">pilot-v2-doc-pmegp-0002-f67d4c730011</t>
  </si>
  <si>
    <t xml:space="preserve">Prime Minister's Employment Generation Programme</t>
  </si>
  <si>
    <t xml:space="preserve">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The maximum cost of the project/unit admissible for Margin Money subsidy under the Manufacturing sector for upgradation is ₹10,00,00,000. The maximum subsidy would be ₹15,00,000 (₹20,00,000 for NER and Hill States). The maximum cost of the project/unit admissible for Margin Money subsidy under the Business/Service sector for upgradation is ₹25,00,000. The maximum subsidy would be ₹3,75,000 (₹5,00,000 for NER and Hill States). The balance amount (excluding the own contribution)of the total project cost will be provided by Banks. If the total project cost exceeds ₹10,00,00,000 or ₹25,00,000 for Manufacturing and Service/Business sector respectively, the balance amount may be provided by banks without any Government subsidy.. For PMEGP new enterprises (Units) Any individual, above 18 years of age. There will be no income ceiling for assistance in setting up projects under PMEGP. For setting up of project costing above Rs.10 lakh in the Manufacturing 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t>
  </si>
  <si>
    <t xml:space="preserve">v2q-005-candidate-12</t>
  </si>
  <si>
    <t xml:space="preserve">v2q-005</t>
  </si>
  <si>
    <t xml:space="preserve">How many days of wage employment does MGNREGA guarantee a rural household in a financial year?</t>
  </si>
  <si>
    <t xml:space="preserve">MGNREGA guarantees at least 100 days of wage employment per financial year to a rural household whose adult members volunteer for unskilled work.</t>
  </si>
  <si>
    <t xml:space="preserve">pilot-v2-doc-pm-kmy-guidelines-0006-2652020c834e</t>
  </si>
  <si>
    <t xml:space="preserve">Pradhan Mantri Kisan Maan Dhan Yojana Operational Guidelines</t>
  </si>
  <si>
    <t xml:space="preserve">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 age of entry of the farmers into the Scheme, as per
        the following contribution chart:
             Superannuation  Member's         Government’s       Total contribution
 Entry Age           Age               contribution (Rs.)   contribution (Rs.)   (Rs.)
    (1)           (2)              (3)               (4)                (5)
        18              60               55               55               110
        19              60               58               58               116
        20              60               61               61               122
        21              60               64               64               128
        22              60               68               68               136
        23              60               72               72               144
        24              60               76               76               152
        25              60               80               80               160
        26              60               85               85               170
        27              60               90               90               180
        28              60               95               95               190
        29              60              100              100               200
        30              60              105              105               210
        31              60              110              110               220
        32              60              120              120               240
        33              60              130              130               260
        34              60              140              140               280
        35              60              150              150               300
        36              60              160              160               320
        37              60              170              170               340
        38              60              180              180               360
        39              60              190              190               380
        40              60              200              200               400
(xi)   In case of death of subscriber before vesting date, the spouse of subscriber shall
have an option of continuing the scheme by payment of remaining contributions under
the scheme, provided she/he 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t>
  </si>
  <si>
    <t xml:space="preserve">v2q-027-candidate-14</t>
  </si>
  <si>
    <t xml:space="preserve">v2q-027</t>
  </si>
  <si>
    <t xml:space="preserve">What livelihood mechanism does PM SVANidhi offer street vendors, and which other programme from its ministry addresses housing shortages for eligible urban households?</t>
  </si>
  <si>
    <t xml:space="preserve">PM SVANidhi offers street vendors collateral-free working-capital loans, interest subsidy, and digital-payment incentives. PMAY-U, under the same Ministry of Housing and Urban Affairs, provides housing support for eligible urban households.</t>
  </si>
  <si>
    <t xml:space="preserve">pilot-v2-doc-pm-kisan-guidelines-0000-bbe94f08550e</t>
  </si>
  <si>
    <t xml:space="preserve">PM-KISAN Operational Guidelines</t>
  </si>
  <si>
    <t xml:space="preserve">PRADHAN MANTRI KISAN SAMMAN NIDHI SCHEME
             (PM-KISAN SCHEME)
    OPERATIONAL GUIDELINES
                          (REVISED AS ON 29.03.2020)
     MINISTRY OF AGRICULTURE &amp; FARMERS’ WELFARE
 DEPARTMENT OF AGRICULTURE, COOPERATION &amp; FARMERS’ WELFARE
                         (DAC&amp;FW)
                                        1
PRADHAN MANTRI KISAN SAMMAN NIDHI (PM-KISAN) SCHEME
            OPERATIONAL GUIDELINES
1.   Scheme
With a view to provide income support to all landholding farmers’ families in the country,
having cultivable land, the Central Government has implemented a Central Sector
Scheme, namely, “Pradhan Mantri Kisan Samman Nidhi (PM-KISAN)”.
2.    Objective and Benefits
The scheme aims to supplement the financial needs of all landholding farmers’ families
in procuring various inputs  to ensure proper crop health and appropriate  yields,
commensurate with the anticipated farm income as well as for domestic needs. Under
the Scheme an amount of Rs.6000/- per year is released by the Central Government
online directly into the bank accounts of the  eligible farmers under Direct Benefit
Transfer mode, subject to certain exclusions.
3.     Definition of farmer’s family
     A landholder farmer’s family is defined as “a family comprising of husband, wife
and minor children who owns cultivable land as per land records of the concerned
State/UT”.  The  existing land-ownership system  will be used  for  identification  of
beneficiaries for calculation of benefit.
4     Exclusions
4.1   The following categories of beneficiaries of higher economic status shall not be
eligible for benefit under the scheme:
(a)     All Institutional Land holders; and
(b)   Farmer families  in which one or more of  its members belong to following
categories :
     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t>
  </si>
  <si>
    <t xml:space="preserve">v2q-029-candidate-19</t>
  </si>
  <si>
    <t xml:space="preserve">v2q-029</t>
  </si>
  <si>
    <t xml:space="preserve">What migrant-focused facility distinguishes Ujjwala 2.0, and what clean-cooking transition was established by its predecessor programme?</t>
  </si>
  <si>
    <t xml:space="preserve">Ujjwala 2.0 added 1.6 crore LPG connections with a special facility for migrant households. Its predecessor, Pradhan Mantri Ujjwala Yojana, sought to replace traditional cooking fuels with LPG access for rural and deprived households.</t>
  </si>
  <si>
    <t xml:space="preserve">v2q-034-candidate-08</t>
  </si>
  <si>
    <t xml:space="preserve">v2q-034</t>
  </si>
  <si>
    <t xml:space="preserve">How do three programmes meet distinct household needs for rural housing, clean cooking, and food security?</t>
  </si>
  <si>
    <t xml:space="preserve">PMAY-G supports pucca rural housing with basic amenities; PMUY provides LPG access to deprived households replacing traditional cooking fuels; PMGKAY provides free foodgrains to eligible AAY and PHH ration-card holders.</t>
  </si>
  <si>
    <t xml:space="preserve">pilot-v2-doc-pmegp-0003-43256e8e6645</t>
  </si>
  <si>
    <t xml:space="preserve">sector and above ₹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For PMEGP new enterprises (Units): Existing Units (under PMRY, REGP, or any other scheme of the Government of India or State Government) and the units that have already availed of Government Subsidy under any other scheme of the Government of India or State Government are not eligible. Only one person from one family 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t>
  </si>
  <si>
    <t xml:space="preserve">v2q-019-candidate-22</t>
  </si>
  <si>
    <t xml:space="preserve">v2q-019</t>
  </si>
  <si>
    <t xml:space="preserve">What role does the Ministry of Petroleum and Natural Gas have in Ujjwala 2.0?</t>
  </si>
  <si>
    <t xml:space="preserve">The ministry introduced Ujjwala 2.0 to provide LPG connections and promote clean cooking fuel among poor, rural, and deprived households.</t>
  </si>
  <si>
    <t xml:space="preserve">pilot-v2-doc-apy-0000-c43dd88d7899</t>
  </si>
  <si>
    <t xml:space="preserve">Atal Pension Yojana</t>
  </si>
  <si>
    <t xml:space="preserve">Atal Pension Yojana. Ministry Of Finance. Department of Financial Service. Banks. 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https://www.npscra.nsdl.co.in/nsdl/scheme-details/APYSubscribersContributionChart1.pdf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&amp;gt;&amp;gt;Home &amp;gt;&amp;gt; select: NPS-Lite or through CGMS Subscriber raising the grievance will be allotted a token number against the grievance raised. Subscriber may check the status of the grievance under “Check the status of Grievance / Enquiry already registered”.. 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t>
  </si>
  <si>
    <t xml:space="preserve">v2q-007-candidate-08</t>
  </si>
  <si>
    <t xml:space="preserve">v2q-007</t>
  </si>
  <si>
    <t xml:space="preserve">What is the full form of PMJJBY, and which event does its life insurance cover?</t>
  </si>
  <si>
    <t xml:space="preserve">PMJJBY stands for Pradhan Mantri Jeevan Jyoti Bima Yojana and provides life-insurance cover for death due to any reason.</t>
  </si>
  <si>
    <t xml:space="preserve">pilot-v2-doc-pmjdy-0001-95c3d046d79a</t>
  </si>
  <si>
    <t xml:space="preserve">Pradhan Mantri Jan Dhan Yojana</t>
  </si>
  <si>
    <t xml:space="preserve">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t>
  </si>
  <si>
    <t xml:space="preserve">v2q-029-candidate-13</t>
  </si>
  <si>
    <t xml:space="preserve">pilot-v2-doc-pmay-g-0001-db2db8af1543</t>
  </si>
  <si>
    <t xml:space="preserve">Pradhan Mantri Awaas Yojana - Gramin</t>
  </si>
  <si>
    <t xml:space="preserve">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t>
  </si>
  <si>
    <t xml:space="preserve">v2q-021-candidate-12</t>
  </si>
  <si>
    <t xml:space="preserve">v2q-021</t>
  </si>
  <si>
    <t xml:space="preserve">How do insurance companies and banks participate in PMFBY?</t>
  </si>
  <si>
    <t xml:space="preserve">PMFBY is implemented through a network of insurance companies and banks to provide crop-insurance protection to farmers.</t>
  </si>
  <si>
    <t xml:space="preserve">pilot-v2-doc-ab-pmjay-0001-a632a7205efc</t>
  </si>
  <si>
    <t xml:space="preserve">Ayushman Bharat - Pradhan Mantri Jan Arogya Yojana</t>
  </si>
  <si>
    <t xml:space="preserve">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Financial Health Insurance Cover: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Coverage Features: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t>
  </si>
  <si>
    <t xml:space="preserve">v2q-002-candidate-07</t>
  </si>
  <si>
    <t xml:space="preserve">v2q-002</t>
  </si>
  <si>
    <t xml:space="preserve">What maximum premium rates can farmers pay under PMFBY for Kharif, Rabi, and annual commercial or horticultural crops?</t>
  </si>
  <si>
    <t xml:space="preserve">Farmers pay at most 2% for Kharif food and oilseed crops, 1.5% for Rabi food and oilseed crops, and 5% for annual commercial or horticultural crops.</t>
  </si>
  <si>
    <t xml:space="preserve">v2q-024-candidate-10</t>
  </si>
  <si>
    <t xml:space="preserve">v2q-024</t>
  </si>
  <si>
    <t xml:space="preserve">Which national health-assurance programme does NHA implement under the health ministry?</t>
  </si>
  <si>
    <t xml:space="preserve">The National Health Authority implements AB-PMJAY under the Ministry of Health and Family Welfare.</t>
  </si>
  <si>
    <t xml:space="preserve">pilot-v2-doc-pm-janman-0002-d0844e3327b6</t>
  </si>
  <si>
    <t xml:space="preserve">PM Janjati Adivasi Nyaya Maha Abhiyan (PM JANMAN)</t>
  </si>
  <si>
    <t xml:space="preserve">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 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</si>
  <si>
    <t xml:space="preserve">v2q-024-candidate-05</t>
  </si>
  <si>
    <t xml:space="preserve">pilot-v2-doc-pmkvy-rpl-0000-c98f315c1481</t>
  </si>
  <si>
    <t xml:space="preserve">Pradhan Mantri Kaushal Vikas Yojana 4.0 - Recognition Of Prior Learning</t>
  </si>
  <si>
    <t xml:space="preserve">Pradhan Mantri Kaushal Vikas Yojana 4.0 - Recognition Of Prior Learning. Ministry Of Skill Development And Entrepreneurship. Implemented between FY 2022-2026 under the "Skill India Programme", the scheme component "Pradhan Mantri Kaushal Vikas Yojana 4.0 - Recognition of Prior Learning (RPL)" by the Ministry of Skill Development and Entrepreneurship (MSDE), Government of India aims to certify candidates who already possess prior-learning experience or skills, with emphasis on upskilling and horizontal skilling within the same NSQF level, so that they obtain industry-relevant skill certification. Through this scheme component, pre-screening, mandatory orientation/training, assessment, and a graded skill certificate, along with one-year accidental insurance and a T-shirt, are provided to candidates with prior learning experience or skills who are willing to get assessed and certified. The scheme is implemented by the National Skill Development Corporation (NSDC), the implementing arm of MSDE, through Recognition of Prior Learning Project Implementing Agencies (RPL-PIAs) responsible for overall execution, with assessment and certification by NCVET-approved Awarding Bodies (ABs) and Assessment Agencies (AAs).. The scheme aims to certify the existing skills of experienced candidates. Through this scheme, free assessment, upskilling, certification, and insurance are provided to Indian candidates.. Industry-relevant skill certification for candidates with prior learning experience or skills, through due assessment. Mandatory training/orientation of a minimum of 30 hours in a classroom setting, with the maximum duration of RPL being 132 hours. Pre-screening of candidates by certified trainers to assess their existing level of learning; no payment is 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t>
  </si>
  <si>
    <t xml:space="preserve">v2q-020-candidate-17</t>
  </si>
  <si>
    <t xml:space="preserve">v2q-020</t>
  </si>
  <si>
    <t xml:space="preserve">How do NSDC and SPIAs divide responsibility in the Special Projects arm of the national skill mission?</t>
  </si>
  <si>
    <t xml:space="preserve">NSDC supports the ministry’s implementation, while Special Projects Implementing Agencies deliver the projects on the ground.</t>
  </si>
  <si>
    <t xml:space="preserve">pilot-v2-doc-mgnrega-0002-bbbce5f319d4</t>
  </si>
  <si>
    <t xml:space="preserve">Mahatma Gandhi National Rural Employment Guarantee Act</t>
  </si>
  <si>
    <t xml:space="preserve">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t>
  </si>
  <si>
    <t xml:space="preserve">v2q-033-candidate-14</t>
  </si>
  <si>
    <t xml:space="preserve">v2q-033</t>
  </si>
  <si>
    <t xml:space="preserve">How do three programmes support micro-enterprises, new enterprise creation, and street-vendor livelihoods through different financial mechanisms?</t>
  </si>
  <si>
    <t xml:space="preserve">PMMY provides micro-credit to eligible micro-enterprises; PMEGP uses a credit-linked subsidy to establish new micro-enterprises; PM SVANidhi provides street vendors collateral-free working-capital loans, interest subsidy, and digital-payment incentives.</t>
  </si>
  <si>
    <t xml:space="preserve">v2q-020-candidate-20</t>
  </si>
  <si>
    <t xml:space="preserve">pilot-v2-doc-pmay-g-0003-2769023a3f73</t>
  </si>
  <si>
    <t xml:space="preserve">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t>
  </si>
  <si>
    <t xml:space="preserve">v2q-003-candidate-06</t>
  </si>
  <si>
    <t xml:space="preserve">v2q-003</t>
  </si>
  <si>
    <t xml:space="preserve">What revised overdraft limit and RuPay accidental-insurance cover are stated for PMJDY?</t>
  </si>
  <si>
    <t xml:space="preserve">PMJDY states a revised overdraft limit of ₹10,000 and accidental-insurance cover of ₹2 lakh for RuPay cardholders.</t>
  </si>
  <si>
    <t xml:space="preserve">pilot-v2-doc-pmuy-0001-5fd4d0cd2135</t>
  </si>
  <si>
    <t xml:space="preserve">Pradhan Mantri Ujjwala Yojana</t>
  </si>
  <si>
    <t xml:space="preserve">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Male Member from a household cannot apply for the scheme.. Following are the prerequisites for the enrollment process: Aadhar Card Ration card Address Proof Passport size photograph Bank Details Apply the application form through online official website. 1.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</si>
  <si>
    <t xml:space="preserve">v2q-020-candidate-12</t>
  </si>
  <si>
    <t xml:space="preserve">pilot-v2-doc-pmkvy-rpl-0003-9425f5b8529a</t>
  </si>
  <si>
    <t xml:space="preserve">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 to apply. Training Center: https://www.pmkvyofficial.org/trainingcenter. The applicant first registers on the Skill India Digital (SID) platform or the mobile application developed for the purpose; profile verification is completed through mobile-based OTP / eKYC, and a de-duplication check is carried out.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1: The applicant is pre-screened by the Awarding Body through a robust process to ascertain the existing level of prior learning. This includes Part 1 (collection of supporting documentation and evidence from the candidate) and Part 2 (assessment of the candidate's previous knowledge). No payment is charged for pre-screening. Stage 2: The candidate's experiential learning outcomes are categorised as equal to or more than 70% of the qualification learning outcomes, or as less than 70%. Stage 3: The applicant undergoes a minimum of 30 hours of classroom orientation, 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t>
  </si>
  <si>
    <t xml:space="preserve">1</t>
  </si>
  <si>
    <t xml:space="preserve">v2q-005-candidate-06</t>
  </si>
  <si>
    <t xml:space="preserve">pilot-v2-doc-pmay-u-0001-b64fadc4bf6b</t>
  </si>
  <si>
    <t xml:space="preserve">Pradhan Mantri Awas Yojana - Urban</t>
  </si>
  <si>
    <t xml:space="preserve">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 annual income between ₹12,00,001 and ₹18,00,000. The applicant or his/her family members must not own a pucca house in any part of the country. The family must comprise of husband/wife and unmarried children. The town/city in which the family resides must be covered under the scheme. The family MUST NOT have previously availed the benefits of any housing-related schemes set up by the Government of India.. Step 1: Interested beneficiary who wants to own a house under PMAY-U 2.0 can register herself/himself on the PMAY-U 2.0 website, wherein it is required to click on ‘Apply for PMAY-U 2.0’ tab. Step 2: The User is required to read and understand the instructions carefully, her/his eligibility criteria, the option to choose any one vertical out of the four verticals of PMAY-U 2,0 before availing the benefits. Step 3: After proceeding, the User needs to undergo the eligibility check for the scheme. Step 4: Once the Eligibility check is completed, the user shall give consent for Aadhaar authentication. Step 5: User will then be taken to the Beneficiary Survey Form for all verticals. The survey form has different sections. User Manual: Click here.. Step 1: Visit a Common Service Centre (CSC) near you. Step 2: Purchase the application form by paying ₹ 25 (plus GST) at the counter. Step 3: In the form, fill in all the mandatory details, and attach copies of the required documents. The details to be filled include name,</t>
  </si>
  <si>
    <t xml:space="preserve">v2q-033-candidate-12</t>
  </si>
  <si>
    <t xml:space="preserve">pilot-v2-doc-pm-kmy-guidelines-0004-79b3bf95bb65</t>
  </si>
  <si>
    <t xml:space="preserve">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
          (f) Professionals like Doctors, Engineers, Lawyers, Chartered Accountants, and
        Architects registered with Professional bodies and carrying out profession by
       undertaking practice.
                                               3
5.2   For the purpose of exclusion State/UT Government can certify the eligibility of the
beneficiary based on self declaration by the beneficiaries. In case beneficiary  is not
available /does not reside in the village, State/UT Governments may consider certification
based on the declaration by other adult member of his/her family. In case of incorrect
self declaration, beneficiary shall not be eligible for financial benefit under the Scheme.
6.   Key features of the Scheme
 (i)  The PM-KMY  is a Central Sector Scheme, administered by the Department of
        Agriculture, Cooperation &amp; Farmers Welfare, Ministry of Agriculture &amp; Farmers’
        Welfare, Government of India in partnership with the Life Insurance Corporation
        of India (LIC).
 (ii)  The LIC shall be the Pension Fund Manager and responsible for Pension pay out.
  (iii)  It is a voluntary and periodic contribution based pension system meant for all land
        holding Small and Marginal Farmers (SMFs) throughout the country, subject to
        aforesaid exclusion criteria.
 (iv) The SMFs shall 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t>
  </si>
  <si>
    <t xml:space="preserve">v2q-012-candidate-23</t>
  </si>
  <si>
    <t xml:space="preserve">v2q-012</t>
  </si>
  <si>
    <t xml:space="preserve">What does PM SVANidhi stand for, and who is its intended beneficiary group?</t>
  </si>
  <si>
    <t xml:space="preserve">PM SVANidhi stands for PM Street Vendor’s AtmaNirbhar Nidhi and supports street vendors through working-capital and related incentives.</t>
  </si>
  <si>
    <t xml:space="preserve">pilot-v2-doc-ab-pmjay-0000-94c82a474579</t>
  </si>
  <si>
    <t xml:space="preserve">Ayushman Bharat - Pradhan Mantri Jan Arogya Yojana. Ministry Of Health &amp; Family Welfare. Department of Health and Family Welfare. National Health Authority (NHA).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&amp;quot;Ayushman Bharat&amp;quot;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AB PM-JAY is a health insurance scheme for low-income families in rural and urban areas. The scheme aims to provide affordable healthcare facilities to the Poor. It is the largest health assurance scheme in the world which aims at providing a health cover of ₹5,00,000/- per</t>
  </si>
  <si>
    <t xml:space="preserve">v2q-014-candidate-01</t>
  </si>
  <si>
    <t xml:space="preserve">v2q-014</t>
  </si>
  <si>
    <t xml:space="preserve">Under the national ration programme, what monthly cereal allocation goes to families in the poorest entitlement tier and to each person in the priority tier?</t>
  </si>
  <si>
    <t xml:space="preserve">AAY families receive 35 kilograms per family per month, while PHH beneficiaries receive 5 kilograms per person per month.</t>
  </si>
  <si>
    <t xml:space="preserve">2</t>
  </si>
  <si>
    <t xml:space="preserve">v2q-026-candidate-22</t>
  </si>
  <si>
    <t xml:space="preserve">v2q-026</t>
  </si>
  <si>
    <t xml:space="preserve">What employment guarantee does MGNREGA provide, and which other programme from its ministry supplies pucca houses to rural households?</t>
  </si>
  <si>
    <t xml:space="preserve">MGNREGA guarantees at least 100 days of wage employment to qualifying rural households. PMAY-G, under the same Ministry of Rural Development, supports pucca houses with basic amenities for eligible rural households.</t>
  </si>
  <si>
    <t xml:space="preserve">pilot-v2-doc-pm-svanidhi-0001-e06d259b429d</t>
  </si>
  <si>
    <t xml:space="preserve">PM Street Vendor’s AtmaNirbhar Nidhi (PM SVANidhi)</t>
  </si>
  <si>
    <t xml:space="preserve">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 or early repayment. No prepayment penalty on early repayment. Interest Subsidy: Subsidy at 7% per annum on loan amount. Credited quarterly to beneficiary’s bank account. Applicable only for standard (non-NPA) accounts. Valid up to 31st March 2033. Digital Transaction Cashback: Cashback up to ₹100/- per month for digital transactions. Credit Guarantee Support: 31.87% guarantee cover for 1st tranche loan. 8.25% guarantee cover for 2nd tranche loan. 6% guarantee cover for 3rd tranche loan. No charges for lending institutions. UPI Linked RuPay Credit Card: Initial credit limit of ₹10,000/-; extendable up to ₹30,000/-. Validity of 5 years. Available after successful repayment of 2nd tranche loan.. 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t>
  </si>
  <si>
    <t xml:space="preserve">v2q-003-candidate-04</t>
  </si>
  <si>
    <t xml:space="preserve">pilot-v2-doc-pmkvy-sp-0002-dc58b95bab9b</t>
  </si>
  <si>
    <t xml:space="preserve">Pradhan Mantri Kaushal Vikas Yojana 4.0- Special Projects</t>
  </si>
  <si>
    <t xml:space="preserve">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 aids, and appliances.1. Accidental Insurance: Every certified candidate is provided with 1-year accidental insurance, as per prevailing rates (₹14.16).1. Aadhaar Enabled Biometric Attendance System (AEBAS) Transaction Fees: Up to ₹10 per user, borne under the scheme.1. Post-Certification Tracking Support: Information Technology (IT)-based tracking for up to 1 year from the date of certification, with an allowance of up to ₹50 per certified candidate.1. Certification: A Quick Response (QR) code-based digital certificate is issued (on DigiLocker, on email/phone number, and on the Skill India Digital profile), and one printed certificate is provided free of cost by the Training Provider.1. Post-Certification Linkages: Certified candidates are linked with Rojgar Melas (including virtual) and Apprenticeship Melas and gain access to jobs, apprenticeship opportunities, and loans for entrepreneurship through Skill India Digital.. The applicant should be of Indian nationality. The applicant should possess a valid Aadhaar. The applicant should fulfil the eligibility criteria of the respective job role. The applicant should be in the age group of 15 to 45 years. The applicant should belong to a marginalised or vulnerable group, or another group requiring 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t>
  </si>
  <si>
    <t xml:space="preserve">v2q-027-candidate-21</t>
  </si>
  <si>
    <t xml:space="preserve">pilot-v2-doc-mgnrega-0001-5203a455caa6</t>
  </si>
  <si>
    <t xml:space="preserve">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Specific attention and provisions for Senior Citizens: Exclusive senior citizen groups may be formed and special works which require lesser physical effort are identified and allotted to these groups. Specific attention and provisions for Internally Displaced Persons: A special job card to be provided will be valid till these families are displaced and will lose its validity as soon as they return to their original place of residence.. The applicant must be at least 18 years of age. The applicant must be residing in a Rural Area.. NA.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t>
  </si>
  <si>
    <t xml:space="preserve">v2q-017-candidate-11</t>
  </si>
  <si>
    <t xml:space="preserve">v2q-017</t>
  </si>
  <si>
    <t xml:space="preserve">Which training route serves people no longer in education or work who need an initial occupational skill?</t>
  </si>
  <si>
    <t xml:space="preserve">PMKVY 4.0 Short-Term Training provides fresh skilling, reskilling, or upskilling for groups including school or college dropouts and unemployed youth.</t>
  </si>
  <si>
    <t xml:space="preserve">pilot-v2-doc-pmkvy-rpl-0001-9ccf0701dcf9</t>
  </si>
  <si>
    <t xml:space="preserve">charged to the candidate for pre-screening. Assessment and Certification, with a payout of ₹600 per candidate per assessment provided to the Sector Skill Councils (SSCs) / Awarding Bodies for overseeing and facilitating final assessments. Accidental Insurance with one year of coverage, paid from the scheme (as per prevailing rates, ₹14.16). A T-shirt is provided to the trainee by the RPL-PIA at its own cost. A graded Skill Certificate and Marksheet on passing, with the grade awarded as Grade A (85% and above) or Grade B (70% to less than 85%). Conditions associated with the benefits: The pass percentage for a Qualification Pack (QP) is 70%; a candidate must achieve marks greater than or equal to 70% to be awarded the Skill Certificate. Marks scored in the Core National Occupational Standards (NOS) of a QP are given 70% weightage, and the remaining 30% weightage is from the Non-Core NOS. Certification is at the same NSQF level as determined during pre-screening. AEBAS-based compulsory attendance is applicable, and more than 70% biometric attendance is required to appear for the assessment. Indicative average unit (per-candidate) cost by RPL type RPL with upskilling (30 hours) at an Accredited and Affiliated Training Centre: ₹3,126.18 per candidate. RPL with upskilling (30 hours) at Industry premises: ₹2,826.18 per candidate. RPL with upskilling (60 hours) at an Accredited and Affiliated Training Centre: ₹3,962.88 per candidate. RPL with upskilling (60 hours) at Industry premises: ₹3,662.88 per candidate. (Note on the 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t>
  </si>
  <si>
    <t xml:space="preserve">RPL sub-scheme chunk for STT question — RPL targets experienced workers, not dropouts/unemployed needing initial skills.</t>
  </si>
  <si>
    <t xml:space="preserve">v2q-009-candidate-09</t>
  </si>
  <si>
    <t xml:space="preserve">v2q-009</t>
  </si>
  <si>
    <t xml:space="preserve">What does APY stand for, and what monthly pension range does it guarantee after age 60?</t>
  </si>
  <si>
    <t xml:space="preserve">APY stands for Atal Pension Yojana and offers guaranteed monthly pension options from ₹1,000 to ₹5,000 after age 60.</t>
  </si>
  <si>
    <t xml:space="preserve">pilot-v2-doc-pm-kisan-guidelines-0001-5ad8f250b7e2</t>
  </si>
  <si>
    <t xml:space="preserve">i)  Former and present holders of constitutional posts
      ii) Former and present Ministers / State Ministers and former / present Members of
      Lok Sabha  / Rajya Sabha  / State Legislative Assemblies  / State Legislative
       Councils, former and present Mayors of Municipal Corporations, former and
      present Chairpersons of District Panchayats.
      iii) All serving or retired officers and employees of Central  / State Government
       Ministries / Offices / Departments and their field units, Central or State PSEs and
      Attached offices / Autonomous Institutions under Government as well as regular
                                         2
employees of the Local Bodies (Excluding Multi Tasking Staff / Class IV / Group
    D employees)
    iv) All superannuated / retired pensioners whose monthly pension is Rs.10,000/- or
     more (Excluding Multi Tasking Staff / Class IV / Group D employees)
    v)  All Persons who paid Income Tax in last assessment year.
    vi) Professionals  like Doctors, Engineers, Lawyers, Chartered Accountants, and
       Architects registered with Professional bodies and carrying out profession by
      undertaking practices.
(c) In case of new beneficiaries being uploaded on the PM-KISAN Portal,  all land
holding farmers’ families who are Non-resident Indians (NRIs) in terms of the provisions
of the Income Tax Act, 1961 shall be excluded from any benefit under the Scheme.
4.2   For the purpose of exclusion State / UT Governments can certify the eligibility of
the beneficiaries based on self declaration by the beneficiaries. In case beneficiary is
not available  / does not reside in the village, State  / UT Governments may consider
certification based on the declaration by other adult member of his / her family. In case
of incorrect  self declaration, beneficiary shall be  liable  for recovery of transferred
financial benefit and other penal actions as per law.
5. Methodology for calculation of benefit
5.1   The benefit shall be paid to only those farmers’ families whose</t>
  </si>
  <si>
    <t xml:space="preserve">v2q-001-candidate-06</t>
  </si>
  <si>
    <t xml:space="preserve">pilot-v2-doc-pmay-u-0000-0b5e95b2690a</t>
  </si>
  <si>
    <t xml:space="preserve">Pradhan Mantri Awas Yojana - Urban. Ministry Of Housing &amp; Urban Affairs. The “Pradhan Mantri Awas Yojana – Urban (PMAY-U)” was launched on 25th June 2015 by the Ministry of Housing &amp;amp; Urban Affairs, Government of India with the vision of “Housing for All” to provide pucca houses to eligible urban households. Implemented by the Ministry of Housing and Urban Affairs, the scheme addresses urban housing shortages, especially for EWS, LIG, and MIG categories, including slum dwellers. It promotes affordable and sustainable housing through components like the Credit Linked Subsidy Scheme (CLSS), offering interest subsidies on housing loans. The mission covers all statutory towns and notified urban areas as per Census 2011. Aadhaar is mandatory for all eligible beneficiaries under the scheme.. Pradhan Mantri Awas Yojana - Urban (PMAY-U) Scheme was launched on 25th June 2015 by the Hon’ble Prime Minister to provide all-weather pucca houses to all eligible urban households across the nation with the vision of ‘Housing for All’.. States/UTsBLC &amp;amp;amp;amp; AHPARHISSAssam, Arunachal Pradesh, Meghalaya, Manipur, Mizoram, Nagaland, Tripura, Sikkim, Himachal Pradesh, Uttarakhand, UTs of Jammu and Kashmir, Puducherry, and DelhiCentral Govt. - ₹2.25 lakh/Unit; State Govt. - Min. ₹0.25 lakh/UnitTechnology Innovation Grant Central Govt. - ₹3,000/sqm per unit State Govt.- ₹2,000/sqm per unit Home Loan Subsidy – up to ₹1.80 lakh (Actual Release) per unit by the Government of India as a Central Sector SchemeAll other UTsCentral Govt. - ₹2.50 lakh/UnitDoDoAll other StatesCentral Govt. - ₹1.5 lakh/Unit; State Govt. - Min. ₹1.00 lakh/UnitDoDo. The family identifies as one of the following - a) Economically Weaker Section (EWS): households with annual income up to ₹3,00,000. b) Low Income Group (LIG): households with annual income between ₹3,00,001 and ₹6,00,000. c) Middle Income Group-1 (MIG-1): households with annual income between ₹6,00,001 and ₹12,00,000. d) Middle Income Group-2 (MIG-2): households with</t>
  </si>
  <si>
    <t xml:space="preserve">v2q-003-candidate-20</t>
  </si>
  <si>
    <t xml:space="preserve">pilot-v2-doc-ab-pmjay-0002-58c80bb24a6c</t>
  </si>
  <si>
    <t xml:space="preserve">deriving a major part of their income from manual casual labour Automatically includedHouseholds without shelter Destitute/ living on alms, Manual scavenger families, Primitive tribal groups, Legally released bonded labour. Urban Beneficiaries For urban areas, the following 11 occupational categories of workers are eligible for the scheme: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t>
  </si>
  <si>
    <t xml:space="preserve">v2q-028-candidate-01</t>
  </si>
  <si>
    <t xml:space="preserve">v2q-028</t>
  </si>
  <si>
    <t xml:space="preserve">What does PMKVY Recognition of Prior Learning certify, and which other pathway from its ministry serves candidates seeking fresh short-term skills training?</t>
  </si>
  <si>
    <t xml:space="preserve">PMKVY Recognition of Prior Learning certifies candidates’ existing skills. PMKVY Short-Term Training, under the same Ministry of Skill Development and Entrepreneurship, provides fresh skilling, reskilling, or upskilling.</t>
  </si>
  <si>
    <t xml:space="preserve">v2q-023-candidate-24</t>
  </si>
  <si>
    <t xml:space="preserve">v2q-023</t>
  </si>
  <si>
    <t xml:space="preserve">What role does a Gram Panchayat play when a household registers for MGNREGA?</t>
  </si>
  <si>
    <t xml:space="preserve">A household may apply through its local Gram Panchayat, which verifies residence, household identity, and adult membership details.</t>
  </si>
  <si>
    <t xml:space="preserve">pilot-v2-doc-pm-gkay-0001-ccd31e120258</t>
  </si>
  <si>
    <t xml:space="preserve">scheme aims to ensure food security for the poor. Through this scheme, free foodgrains are provided to eligible ration card holders under the National Food Security Act, 2013.. Antyodaya Anna Yojana (AAY) families receive 35 kilograms of foodgrains per family per month. Priority Household (PHH) beneficiaries receive 5 kilograms of foodgrains per person per month. The foodgrains are provided as rice or wheat, depending on the state, with fortified rice distributed nationwide. Since January 2023, the foodgrains have been provided completely free of cost (at zero cost) to the beneficiaries. Through One Nation One Ration Card, beneficiaries can collect their ration from any fair price shop anywhere in India.. The applicant should be a household belonging to the Antyodaya Anna Yojana (AAY) category or the Priority Households (PHH) category. Priority Households (PHH) are to be identified by the state governments/union territory administrations as per the criteria evolved by them. Antyodaya Anna Yojana (AAY) families are to be identified by the States / Union Territories as per the criteria prescribed by the Central Government, as listed below. Criteria for Antyodaya Anna Yojana (AAY) Families: The applicant should be a household headed by a widow, a terminally ill person, a disabled person, or a person aged 60 years or more, with no assured means of subsistence or societal support. The applicant should be a widow, a terminally ill person, a disabled person, a person aged 60 years or more, a single woman, 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t>
  </si>
  <si>
    <t xml:space="preserve">v2q-004-candidate-01</t>
  </si>
  <si>
    <t xml:space="preserve">v2q-019-candidate-11</t>
  </si>
  <si>
    <t xml:space="preserve">v2q-029-candidate-04</t>
  </si>
  <si>
    <t xml:space="preserve">pilot-v2-doc-pmay-g-0002-e08c1e347071</t>
  </si>
  <si>
    <t xml:space="preserve">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further verified by the Gram Sabhas.. 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t>
  </si>
  <si>
    <t xml:space="preserve">v2q-026-candidate-21</t>
  </si>
  <si>
    <t xml:space="preserve">pilot-v2-doc-pmay-g-0004-f8ee90715c3f</t>
  </si>
  <si>
    <t xml:space="preserve">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t>
  </si>
  <si>
    <t xml:space="preserve">v2q-034-candidate-04</t>
  </si>
  <si>
    <t xml:space="preserve">v2q-023-candidate-18</t>
  </si>
  <si>
    <t xml:space="preserve">pilot-v2-doc-ab-pmjay-0003-1242266bb260</t>
  </si>
  <si>
    <t xml:space="preserve">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t>
  </si>
  <si>
    <t xml:space="preserve">v2q-015-candidate-11</t>
  </si>
  <si>
    <t xml:space="preserve">v2q-015</t>
  </si>
  <si>
    <t xml:space="preserve">Which initiative helps job-seekers and established craftspeople launch small businesses outside agriculture?</t>
  </si>
  <si>
    <t xml:space="preserve">The Prime Minister's Employment Generation Programme supports new micro-enterprises to create self-employment for traditional artisans, unemployed youth, and other eligible beneficiaries.</t>
  </si>
  <si>
    <t xml:space="preserve">pilot-v2-doc-pm-kisan-guidelines-0011-06191a382507</t>
  </si>
  <si>
    <t xml:space="preserve">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 details
at a single web-portal in a uniform structure.
9.2   The PM-Kisan Portal has been created with the following objectives -
i)    To provide verified and single source of truth on farmers’ details at the portal.
ii)     Timely assistance to the farmers in farm operation
iii)   A unified e-platform for transferring of cash benefits into farmer’s bank account
      through Public Financial Management System (PFMS) integration.
iv)    Location wise availability of benefited farmers’ list.
v)    Ease of monitoring across the country on fund transaction details.
9.3   PM-Kisan Portal :
The following farmer attributes need to be entered in the Portal:
Farmer Attributes: (Essential):
       State,  District, Sub-District/Block,  Village, Farmer Name, Type  of  Identity –
     Aadhaar Number and in case Aadhaar not available, Aadhaar enrollment number
       with any other ID proof like Voter ID etc, Gender, Category, IFSC Code, Bank
      Account Number.
Farmer Attributes (Optional):
      Father name, Address, Mobile Number, Date of Birth/Age, Farm-Size in Hectare,
      Survey Number, Khasra Number
      Optional attributes such as Mobile number can be utilized for SMS alerts. Other
       optional attributes may be used for purpose of future requirement.  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t>
  </si>
  <si>
    <t xml:space="preserve">v2q-024-candidate-19</t>
  </si>
  <si>
    <t xml:space="preserve">pilot-v2-doc-mgnrega-0000-7e6d80b47566</t>
  </si>
  <si>
    <t xml:space="preserve">Mahatma Gandhi National Rural Employment Guarantee Act. Ministry Of Rural Development. Department of Rural Development. Gram Panchayats (GPs). 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Exclusive measures for the promotion of the participation of the disabled persons: Identification of suitable works Mobilization of disabled persons by</t>
  </si>
  <si>
    <t xml:space="preserve">v2q-018-candidate-06</t>
  </si>
  <si>
    <t xml:space="preserve">v2q-018</t>
  </si>
  <si>
    <t xml:space="preserve">Which initiative helps city households across officially defined lower and middle income bands obtain permanent homes?</t>
  </si>
  <si>
    <t xml:space="preserve">Pradhan Mantri Awas Yojana–Urban addresses urban housing shortages and supports eligible EWS, LIG, and MIG households, including slum dwellers.</t>
  </si>
  <si>
    <t xml:space="preserve">pilot-v2-doc-pmuy2-0000-95fa2d4e3b3f</t>
  </si>
  <si>
    <t xml:space="preserve">Pradhan Mantri Ujjwala Yojana 2.0</t>
  </si>
  <si>
    <t xml:space="preserve">Pradhan Mantri Ujjwala Yojana 2.0. Ministry Of Petroleum and Natural Gas. The Pradhan Mantri Ujjwala Yojana 2.0 (PMUY) was launched in May 2016 by the Ministry of Petroleum and Natural Gas to provide free LPG connections to women from poor households. Its main objective is to promote clean cooking fuel like LPG among rural and deprived families who traditionally rely on firewood, coal, or cow-dung cakes. This shift helps reduce health risks for women and minimizes environmental pollution. Under PMUY 2.0, the scheme was further expanded to reach more beneficiaries across India.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t>
  </si>
  <si>
    <t xml:space="preserve">v2q-026-candidate-19</t>
  </si>
  <si>
    <t xml:space="preserve">pilot-v2-doc-pm-kisan-guidelines-0005-7d487843ff7f</t>
  </si>
  <si>
    <t xml:space="preserve">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 after
             01.02.2019, the officials have to reassess the eligibility of the transferor
           and decide whether the benefits have to be stopped or not and intimate
             the authorities so that the PM-KISAN portal can be updated. Transferees
            are not entitled for any benefits under PM-KISAN in such cases.
5.4   The beneficiaries, whose names are uploaded on PM-Kisan Portal by the State /
UT Government in a particular 4-month period / trimester, shall be entitled to receive
benefit for that trimester and  for further installments pertaining to the subsequent
trimesters for that financial year.
5.5    In some of the North Eastern States, the land ownership rights are community
based and  it might not be possible to assess the quantum of land holder farmers. In
such States an alternate implementation mechanism for eligibility of the farmers will be
developed and approved  by  the Committee  of  Union  Ministers  of  Ministry  of
Development  of North East Region (DoNER), the  Ministry  of Rural Development
(Department of Land Resources), the Union Agriculture Minister and the concerned
State Chief Ministers or their Ministerial representatives, based on the proposal 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t>
  </si>
  <si>
    <t xml:space="preserve">v2q-034-candidate-02</t>
  </si>
  <si>
    <t xml:space="preserve">v2q-013-candidate-10</t>
  </si>
  <si>
    <t xml:space="preserve">v2q-013</t>
  </si>
  <si>
    <t xml:space="preserve">Which initiative helps women in low-income countryside homes replace smoke-producing solid cooking materials with bottled gas?</t>
  </si>
  <si>
    <t xml:space="preserve">Pradhan Mantri Ujjwala Yojana provides LPG access to rural and deprived households that previously relied on traditional cooking fuels.</t>
  </si>
  <si>
    <t xml:space="preserve">pilot-v2-doc-pmuy2-0002-61d762b2cd43</t>
  </si>
  <si>
    <t xml:space="preserve">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 the official website. Step 2: Select the option Apply for the New Ujjwala 2.0 Connection. Step 3: Scroll down to and click on Online Portal. and Select the LPG distribution company name example Indane / Bharatgas / HP Gas. Step 4: Click on Register Now on the selected LPG distribution company. Step 5: Select a type of Connection like Ujjwala 2.0 New Connection. Step 6: Choose the State, District, Pin Code, and Name of the Distributor. Then Enter your Mobile Number, Captcha, and OTP. Step 7: Select the type of KYC New KYC and Normal KYC. Step 8: Select Migrant Family status in YES or NO Step 9: For the family Identifier in NO fill in Annexure 1 Step 10: For family Identifier in Yes fill in Ration Card Step 11: Fill in all Family Details, Personal details, address details, bank details, Choose Cylinder Types, Select rural or urban and select the declaration and submit. Step 12: Generate the Reference number and Print your applied form attach all the documents you submitted online and visit the selected Gas agency.</t>
  </si>
  <si>
    <t xml:space="preserve">v2q-021-candidate-07</t>
  </si>
  <si>
    <t xml:space="preserve">pilot-v2-doc-pmfby-0005-981661f0b09d</t>
  </si>
  <si>
    <t xml:space="preserve">Pradhan Mantri Fasal Bima Yojna (PMFBY)</t>
  </si>
  <si>
    <t xml:space="preserve">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 You can track the application status on the PMFBY website through the ‘Application Status’ option on the home page. Keep copies of all documents submitted and the acknowledgement receipt for future reference. Note down the contact details of the CSC centre for any queries or assistance.</t>
  </si>
  <si>
    <t xml:space="preserve">v2q-031-candidate-09</t>
  </si>
  <si>
    <t xml:space="preserve">v2q-031</t>
  </si>
  <si>
    <t xml:space="preserve">How do three finance-sector programmes combine basic banking, life insurance, and accident insurance?</t>
  </si>
  <si>
    <t xml:space="preserve">PMJDY provides universal banking and access to financial services; PMJJBY supplies life cover for death from any cause; PMSBY supplies accidental-death and disability cover.</t>
  </si>
  <si>
    <t xml:space="preserve">v2q-022-candidate-09</t>
  </si>
  <si>
    <t xml:space="preserve">v2q-022</t>
  </si>
  <si>
    <t xml:space="preserve">Which finance programme relies on Member Lending Institutions to extend assistance to non-corporate micro-enterprises?</t>
  </si>
  <si>
    <t xml:space="preserve">Eligible Member Lending Institutions extend PMMY financial assistance and provide the scheme’s micro-loans to qualifying micro and small enterprises.</t>
  </si>
  <si>
    <t xml:space="preserve">v2q-019-candidate-05</t>
  </si>
  <si>
    <t xml:space="preserve">pilot-v2-doc-pmfby-0001-4270154049cc</t>
  </si>
  <si>
    <t xml:space="preserve">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t>
  </si>
  <si>
    <t xml:space="preserve">v2q-012-candidate-26</t>
  </si>
  <si>
    <t xml:space="preserve">v2q-014-candidate-18</t>
  </si>
  <si>
    <t xml:space="preserve">v2q-006-candidate-27</t>
  </si>
  <si>
    <t xml:space="preserve">v2q-006</t>
  </si>
  <si>
    <t xml:space="preserve">What annual hospitalisation cover does AB-PMJAY provide per eligible family?</t>
  </si>
  <si>
    <t xml:space="preserve">AB-PMJAY provides cashless hospitalisation cover of ₹5 lakh per family per year for secondary and tertiary healthcare.</t>
  </si>
  <si>
    <t xml:space="preserve">pilot-v2-doc-pm-gkay-0002-9e804cd883e8</t>
  </si>
  <si>
    <t xml:space="preserve">or a single man, with no family or societal support, and with no assured means of subsistence. The applicant should belong to a primitive tribal household.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The applicant should belong to an eligible Below Poverty Line (BPL) family of a human immunodeficiency virus (HIV) positive person..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</si>
  <si>
    <t xml:space="preserve">v2q-008-candidate-01</t>
  </si>
  <si>
    <t xml:space="preserve">v2q-008</t>
  </si>
  <si>
    <t xml:space="preserve">Which accident-insurance programme is abbreviated PMSBY, and which outcomes trigger its cover?</t>
  </si>
  <si>
    <t xml:space="preserve">PMSBY stands for Pradhan Mantri Suraksha Bima Yojana and covers accidental death and disability.</t>
  </si>
  <si>
    <t xml:space="preserve">pilot-v2-doc-pm-kisan-guidelines-0010-3f4cd01daefd</t>
  </si>
  <si>
    <t xml:space="preserve">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   will  designate  a  Nodal  Department  for
implementation of the scheme and coordinating with Central Government with regard to
implementation of Income Support Scheme.
8.3  On the lines of PMU at central level, States  / UTs may consider setting up
dedicated Project Monitoring Units at State  / UT Level. 0.125% for the amount of
installments transferred to beneficiaries can be transferred by Central Government to
State / UT Government to cover the expenditure on their PMUs, if established and for
meeting  other  related  administrative expenses  including  cost  to be  incurred  for
procurement  of  stationary,  field  verification,   filling  of  prescribed  formats,  their
certification and its uploading as well as incentive for field functionaries, publicity, etc.
States / UTs will furnish the details of the account to which Administrative Charges are
credited by the Central Government. The administrative charges payable to the States /
UTs will be provided by Government of India based on the volume of work and the
number of beneficiaries.
                                         7
9.    PM-Kisan Portal for implementation of the scheme (Beneficiary Details
uploading by State)
9.1    Beneficiaries under the scheme are to be identified by the respective State and
Union Territory. The details of farmers are being maintained by the States / UTs either
in electronic form or in manual register. To make integrated platform available in the
country to assist in benefit transfer, a platform named PM-Kisan Portal available at
URL (http://pmkisan.gov.in) has been be launched for uploading the farmers’</t>
  </si>
  <si>
    <t xml:space="preserve">v2q-008-candidate-04</t>
  </si>
  <si>
    <t xml:space="preserve">pilot-v2-doc-pmsby-0000-0f297846df39</t>
  </si>
  <si>
    <t xml:space="preserve">Pradhan Mantri Suraksha Bima Yojana</t>
  </si>
  <si>
    <t xml:space="preserve">Pradhan Mantri Suraksha Bima Yojana. Ministry Of Finance. Department of Financial Service. Banks. 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 An Accident Insurance Scheme offering accidental death and disability cover for death or disability on account of an accident.. 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t>
  </si>
  <si>
    <t xml:space="preserve">v2q-030-candidate-03</t>
  </si>
  <si>
    <t xml:space="preserve">v2q-030</t>
  </si>
  <si>
    <t xml:space="preserve">What retirement benefit does APY offer, and which life-insurance programme administered through the same department covers death from any cause?</t>
  </si>
  <si>
    <t xml:space="preserve">APY offers guaranteed monthly pension options after age 60. PMJJBY, associated with the same Department of Financial Services, provides life cover for death due to any reason.</t>
  </si>
  <si>
    <t xml:space="preserve">v2q-027-candidate-04</t>
  </si>
  <si>
    <t xml:space="preserve">pilot-v2-doc-pm-svanidhi-0000-f6024bb09ca5</t>
  </si>
  <si>
    <t xml:space="preserve">PM Street Vendor’s AtmaNirbhar Nidhi (PM SVANidhi). Ministry Of Housing &amp; Urban Affairs. Urban Local Bodies (ULBs) And Town Vending Committees (TVCs). The scheme &amp;quot;PM Street Vendor’s AtmaNirbhar Nidhi (PM SVANidhi)&amp;quot; by the Ministry of Housing and Urban Affairs, Government of India aims to formalize street vendors and enhance their economic opportunities through providing collateral-free working capital loans, interest subsidy, and digital transaction incentives to street vendors. It was launched on 1st June 2020 as a central sector scheme. The scheme supports vendors in restarting and expanding their businesses. It also promotes digital payments to increase financial inclusion. Street vendors include hawkers, thelewala, rehriwala, and others engaged in small-scale vending activities.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 PM SVANidhi is a micro-credit scheme launched on 1st June 2020 by the MoHUA to provide handholding support to street vendors. The scheme facilitates a working capital collateral-free loan of ₹10,000, with subsequent loans of ₹20,000 and ₹50,000 with a 7% interest subsidy.. Working Capital Loan: 1st Tranche: Loan up to ₹15,000/-; repayment within 12 months. - 2nd Tranche: Loan up to ₹25,000/-; repayment within 18 months. - 3rd Tranche: Loan up to ₹50,000/-; repayment within 36 months. - Next tranche available on timely</t>
  </si>
  <si>
    <t xml:space="preserve">v2q-003-candidate-01</t>
  </si>
  <si>
    <t xml:space="preserve">v2q-008-candidate-05</t>
  </si>
  <si>
    <t xml:space="preserve">pilot-v2-doc-pmsby-0001-8851a01ce006</t>
  </si>
  <si>
    <t xml:space="preserve">of one eye or loss of use of one hand or foot –subscriber shall get Rs. 1 Lakh.. Individual bank account holders of participating banks aged between 18 years (completed) and 70 years (age nearer birthday) who give their consent to join / enable auto-debit, will be enrolled into the scheme.. 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 One can also avail cover under PMSBY online using their bank's Net banking facility.</t>
  </si>
  <si>
    <t xml:space="preserve">v2q-011-candidate-03</t>
  </si>
  <si>
    <t xml:space="preserve">v2q-011</t>
  </si>
  <si>
    <t xml:space="preserve">What does PM JANMAN stand for, and which communities does it target?</t>
  </si>
  <si>
    <t xml:space="preserve">PM JANMAN stands for PM Janjati Adivasi Nyaya Maha Abhiyan and targets Particularly Vulnerable Tribal Groups.</t>
  </si>
  <si>
    <t xml:space="preserve">pilot-v2-doc-pmmy-0000-70a89ee32765</t>
  </si>
  <si>
    <t xml:space="preserve">Pradhan Mantri Mudra Yojana</t>
  </si>
  <si>
    <t xml:space="preserve">Pradhan Mantri Mudra Yojana. Ministry Of Finance. Department of Financial Service. Member Lending Institutions - Bank Or A Micro Finance Institution (MFI) / Non-Banking Finance Company (NBFC) / Other Financial Intermediary. Pradhan Mantri Mudra Yojana (PMMY) is a flagship scheme of Government of India. The scheme facilitates micro credit/Loan up to Rs. 20 lakhs to income generating micro enterprises engaged in the non farm sector in manufacturing, trading or service sectors including activities allied to agriculture such as poultry, dairy, beekeeping, etc. The Scheme provides financial assistance extended by Member Lending Institutions to the non-corporate, non-farm sector income generating activities of micro and small entities. These micro and small entities comprise of millions of proprietorship / partnership firms running as small manufacturing units, service sector units, shopkeepers, fruits / vegetable vendors, truck operators, food-service units, repair shops, machine operators, small industries, artisans, food processors and others. The loans under Pradhan Mantri Mudra Yojana can be availed through eligible Member Lending Institutions (MLIs), which include: Public Sector Banks Private Sector Banks State operated cooperative banks Rural banks from regional sector Micro Finance Institution (MFI) Non-Banking Finance Company (NBFC) Small Finance Banks (SFBs) Other financial intermediary approved by Mudra Ltd. as member financial institutions Interest rate The interest rates are declared by Member Lending Institutions from time to time as per Reserve Bank of India guidelines based on which applicable interest rate is determined. Upfront fee/Processing charges Banks may consider charging of 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t>
  </si>
  <si>
    <t xml:space="preserve">v2q-026-candidate-09</t>
  </si>
  <si>
    <t xml:space="preserve">v2q-023-candidate-21</t>
  </si>
  <si>
    <t xml:space="preserve">v2q-011-candidate-06</t>
  </si>
  <si>
    <t xml:space="preserve">pilot-v2-doc-pm-janman-0001-0deee4377b38</t>
  </si>
  <si>
    <t xml:space="preserve">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 in existing schools in Particularly Vulnerable Tribal Group areas. The cost is ₹2,75,00,000/- per hostel construction, subject to the actual estimate as per existing cost sharing ratio. Anganwadi Centers (AWCs) Construction of Anganwadi Centers (Target: 2,500 AWCs) in Particularly Vulnerable Tribal Group habitations/villages. The unit cost is ₹12,00,000/- per Anganwadi Center. Livelihood (VDVKs) Setting up of Van Dhan Vikas Kendras (VDVKs) (Target: 500 VDVKs). An amount of ₹15,00,000/- meant for 300 members will be released on a pro rata basis. Multipurpose Centers (MPCs) Construction of Multipurpose Centers (Target: 1,000 MPCs). The unit cost is ₹60,00,000/- per unit. Solar Power/Electricity Provision of solar power solutions to 1,00,000 Particularly Vulnerable Tribal Group households. Funding is ₹50,000/- per household or actual cost for 300 Watt supply. Telecom Connectivity Installation of mobile towers (Target: 3,000 mobile towers) in all uncovered villages/habitations.. The applicant must belong to a Particularly Vulnerable Tribal Group (PVTG) community. The applicant must reside in one of the 18 States and Union Territories having a notified Particularly Vulnerable Tribal Group population. The applicant household must be identified as eligible through the physical survey conducted by state governments using the mobile application on the PM Gati-shakti Portal. Eligibility Specific to Interventions The applicant household seeking a pucca house must currently reside in a kaccha house. The applicant household seeking solar power solutions must be an unelectrified household not covered under the Revamped Distribution Sector Scheme (RDSS). The applicant household seeking an on-grid</t>
  </si>
  <si>
    <t xml:space="preserve">v2q-010-candidate-09</t>
  </si>
  <si>
    <t xml:space="preserve">v2q-010</t>
  </si>
  <si>
    <t xml:space="preserve">What is the full form of PM POSHAN, and what meal benefit does it provide?</t>
  </si>
  <si>
    <t xml:space="preserve">PM POSHAN means Prime Minister's Overarching Scheme for Holistic Nourishment and provides one hot cooked meal to children in government and government-aided schools.</t>
  </si>
  <si>
    <t xml:space="preserve">v2q-015-candidate-16</t>
  </si>
  <si>
    <t xml:space="preserve">pilot-v2-doc-pmkvy-sp-0000-0fc5cf1d7fb0</t>
  </si>
  <si>
    <t xml:space="preserve">Pradhan Mantri Kaushal Vikas Yojana 4.0- Special Projects. Ministry Of Skill Development And Entrepreneurship. Launched in 2015, with its 4.0 phase being implemented between Financial Year 2022 and Financial Year 2026, the scheme "Pradhan Mantri Kaushal Vikas Yojana 4.0 – Special Projects" by the Ministry of Skill Development and Entrepreneurship, Government of India, aims to meet the skilling needs of marginalized and vulnerable groups, difficult geographies, and specialized training courses that are likely to be offered outside of regular short-term skilling programmes, and can also focus on new-age job roles with future skills. Through this scheme, project-based short-term skilling initiatives — which can be residential or non-residential and may avail certain exemptions granted with the approval of the Executive Committee are provided to marginalised and vulnerable groups and candidates in difficult geographies that require special attention. The scheme is implemented by the National Skill Development Corporation (NSDC), which supports the Ministry of Skill Development and Entrepreneurship (MSDE), and is delivered on the ground through Special Projects Implementing Agencies (SPIAs). Objectives of Pradhan Mantri Kaushal Vikas Yojana 4.0 The scheme promotes an enabling ecosystem for the youth to get skilled and choose a career path aligned with their abilities and aspirations. The scheme enables delivery of skill training in a market-oriented and demand-driven manner, with emphasis on improving the employability of candidates. The scheme simplifies processes of the skill ecosystem by leveraging technology and digitalisation. The scheme enhances access to skilling 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t>
  </si>
  <si>
    <t xml:space="preserve">v2q-023-candidate-02</t>
  </si>
  <si>
    <t xml:space="preserve">pilot-v2-doc-pm-kmy-guidelines-0003-30d7d7a0db81</t>
  </si>
  <si>
    <t xml:space="preserve">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 and upto the age of 40 years, and who do not
fall within the purview of the exclusion criteria as mentioned in the guidelines, are eligible
to avail the benefits of this Scheme by joining it.
5.    Exclusions
5.1   The following categories  of farmers have been brought under the exclusion
criteria:
  (i)   SMFs covered under any other statuary social security schemes such as National
       Pension Scheme  (NPS),  Employees’  State  Insurance  Corporation  scheme,
       Employees’ Fund Organization Scheme etc.
  (ii)   Farmers who have opted for Pradhan Mantri Shram Yogi Maan Dhan Yojana (PM-
      SYM) administered by the Ministry of Labour &amp; Employment
  (iii)   Farmers who have opted for Pradhan Mantri Laghu Vyapari Maan-dhan Yojana
       (PM-LVM) administered by the Ministry of Labour &amp; Employment
 (iv)   Further, the following categories of beneficiaries of higher economic status shall
       not be eligible for benefits under the scheme:
        (a) All Institutional Land holders; and
        (b) Former and present holders of constitutional posts
         (c) Former and present Ministers/ State Ministers and former/present Members
        of Lok Sabha/ Rajya Sabha/ State Legislative Assemblies/ State Legislative
        Councils,former and present Mayors of Municipal Corporations, former and
        present Chairpersons of District Panchayats.
        (d)  All serving or retired officers and employees of Central/ State Government
         Ministries/ Offices/Departments and their field units, Central or State PSEs and
       Attached offices/ Autonomous Institutions under Government as well as regular
       employees of the Local Bodies (ExcludingMultiTaskingStaff/ClassIV/GroupD
      employees)
        (e)  All Persons who paid Income Tax in last assessment year.</t>
  </si>
  <si>
    <t xml:space="preserve">v2q-008-candidate-10</t>
  </si>
  <si>
    <t xml:space="preserve">v2q-026-candidate-01</t>
  </si>
  <si>
    <t xml:space="preserve">pilot-v2-doc-pmegp-0000-7b958e1ec4b0</t>
  </si>
  <si>
    <t xml:space="preserve">Prime Minister's Employment Generation Programme. Ministry Of Micro, Small and Medium Enterprises. Khadi And Village Industries Commission (KVIC). The &amp;quot;Prime Minister’s Employment Generation Programme (PMEGP)&amp;quot; is a credit-linked subsidy scheme launched in 2008 by the Ministry of Micro, Small, and Medium Enterprises (MSME). The scheme aims to generate employment opportunities by supporting the establishment of new micro-enterprises in both rural and urban areas. It promotes self-employment among traditional artisans, unemployed youth, and other eligible beneficiaries in the non-farm sector. PMEGP is being implemented by the Khadi and Village Industries Commission (KVIC) along with KVIBs, DICs, Coir Board, and banks. The scheme has been continued for the period 2021-22 to 2025-26 to support enterprise creation and sustainable livelihood generation across the country..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t>
  </si>
  <si>
    <t xml:space="preserve">v2q-013-candidate-08</t>
  </si>
  <si>
    <t xml:space="preserve">v2q-010-candidate-08</t>
  </si>
  <si>
    <t xml:space="preserve">pilot-v2-doc-pmfby-0003-5aa41e0f864d</t>
  </si>
  <si>
    <t xml:space="preserve">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 Non-payment of premiums can result in the cancellation of insurance..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t>
  </si>
  <si>
    <t xml:space="preserve">v2q-001-candidate-18</t>
  </si>
  <si>
    <t xml:space="preserve">v2q-031-candidate-19</t>
  </si>
  <si>
    <t xml:space="preserve">pilot-v2-doc-apy-0002-66a5cc4017fb</t>
  </si>
  <si>
    <t xml:space="preserve">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 Age of joining and contribution period The minimum age of joining APY is 18 years and maximum is 40 years. The age of exit and start of pension is 60 years. Subscriber contribution to APY shall be made through the facility of ‘auto-debit’ of the prescribed contribution amount from the savings bank account of the subscriber on monthly, quarterly or half-yearly basis. The subscribers are required to contribute the prescribed contribution amount from the age of joining APY till the age of 60 years.. From 1st October, 2022, any citizen who is or has been an income tax payer, shall not be eligible to join APY.. 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t>
  </si>
  <si>
    <t xml:space="preserve">v2q-003-candidate-11</t>
  </si>
  <si>
    <t xml:space="preserve">pilot-v2-doc-pm-kmy-guidelines-0017-43ef720eda68</t>
  </si>
  <si>
    <t xml:space="preserve">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 strictly personal and cannot be assigned,
charged or alienated in any way.
If any restraint or prohibitory order  is served on the Government in respect of any
benefit payable to a subscriber or his  / her beneficiary or  if the subscriber or the
beneficiary shall become bankrupt or attempt to assign, charge or in any way encumber
the pension or any benefit there under, he / she shall forfeit all rights and claim thereto
and the same shall lapse to the Government but without prejudice to the powers of the
Government at their discretion to maintain or continue the same, it they think fit, either
immediately or after an interval or otherwise to make payments for the support of the
subscriber. The value of any or all benefits forfeited shall be transferred to the ‘Surplus
Account’.
14.  TO PREVAIL:
Should anything contained  in these guidelines or  in any alternation or amendment
thereof be inconsistent with the object or provisions of the Scheme, the provisions of the
Scheme as approved shall prevail. On any such discrepancy coming to the notice of 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t>
  </si>
  <si>
    <t xml:space="preserve">v2q-027-candidate-19</t>
  </si>
  <si>
    <t xml:space="preserve">v2q-013-candidate-14</t>
  </si>
  <si>
    <t xml:space="preserve">v2q-009-candidate-14</t>
  </si>
  <si>
    <t xml:space="preserve">v2q-025-candidate-05</t>
  </si>
  <si>
    <t xml:space="preserve">v2q-025</t>
  </si>
  <si>
    <t xml:space="preserve">What banking function does PMJDY provide, and which other programme from its ministry finances income-generating micro-enterprises?</t>
  </si>
  <si>
    <t xml:space="preserve">PMJDY provides universal banking services for unbanked households. PMMY, under the same Ministry of Finance, provides micro-credit for income-generating micro-enterprises.</t>
  </si>
  <si>
    <t xml:space="preserve">v2q-014-candidate-12</t>
  </si>
  <si>
    <t xml:space="preserve">v2q-006-candidate-15</t>
  </si>
  <si>
    <t xml:space="preserve">pilot-v2-doc-ab-pmjay-0004-2e5074722cd7</t>
  </si>
  <si>
    <t xml:space="preserve">rejection by the State Health Agency (SHA). Step 6: E-card Issuance - On approval by SHA/insurance company/trust, an e-card will be issued to the beneficiary..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</si>
  <si>
    <t xml:space="preserve">v2q-031-candidate-17</t>
  </si>
  <si>
    <t xml:space="preserve">pilot-v2-doc-pm-kmy-guidelines-0002-ae644e1f8c00</t>
  </si>
  <si>
    <t xml:space="preserve">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 of 60 years;
(m)     “Pension” means Assured Monthly Amount payable as Pension under this
   Scheme to the eligible subscriber or his/her spouse ;
(n)  “Pension fund” or “Fund” means the fund created by the Central Government
   and managed by LIC of India in which the contributions made by the subscribers
   and the matching contributions made by the Government would be deposited.
   The Government Pool Account together with the Subscriber’s Individual Account
   (hereinafter called the “SIA”) shall constitute the Pension Fund under the scheme.
(o)  “Pradhan Mantri Kisan Samman Nidhi Scheme” or “PM-Kisan” means
   the Central Sector Scheme administered by the DACV&amp;FW for providing direct
   income support to the farmers.
(p) “Small and Marginal Farmer” or “SMF” means a farmer who owns cultivable
   land upto 2 hectare as per land records of the concerned State/UT”.
(q)  “Sponsor Bank” means bank nominated by the Corporation, presently the
   IDBI Bank, for providing banking services under the scheme.
(r)   “State Nodal Officers”  or “SNOs” means the  officers  of the State/UT
   Governments who are responsible for preparing the  list of farmers, including,
   SMFs under the Pradhan Mantri Kisan Samman Nidhi (PM-Kisan) Scheme.
                                           2
(s)  “SUBSCRIBER” means a Small and Marginal Farmer who has joined this
      Scheme, and his / her spouse in case of his / her death;
4.     Eligibility
All Small and Marginal Farmers (SMFs) in all States and Union Territories of the country,
who are of the age of 18 years and above</t>
  </si>
  <si>
    <t xml:space="preserve">v2q-008-candidate-26</t>
  </si>
  <si>
    <t xml:space="preserve">v2q-008-candidate-16</t>
  </si>
  <si>
    <t xml:space="preserve">v2q-032-candidate-14</t>
  </si>
  <si>
    <t xml:space="preserve">v2q-032</t>
  </si>
  <si>
    <t xml:space="preserve">How do three farmer programmes separately address crop loss, current income needs, and old-age income security?</t>
  </si>
  <si>
    <t xml:space="preserve">PMFBY insures crops against specified losses; PM-KISAN transfers ₹6,000 annually to eligible farmer families; PM-KMY provides eligible small and marginal farmers an assured ₹3,000 monthly pension from age 60.</t>
  </si>
  <si>
    <t xml:space="preserve">v2q-019-candidate-03</t>
  </si>
  <si>
    <t xml:space="preserve">v2q-017-candidate-09</t>
  </si>
  <si>
    <t xml:space="preserve">SP sub-scheme chunk for STT question — special-project geographic targeting, not the fresh-skilling STT pathway.</t>
  </si>
  <si>
    <t xml:space="preserve">v2q-009-candidate-17</t>
  </si>
  <si>
    <t xml:space="preserve">pilot-v2-doc-pmjdy-0000-8b241ec39723</t>
  </si>
  <si>
    <t xml:space="preserve">Pradhan Mantri Jan Dhan Yojana. Ministry Of Finance. Department of Financial Service. Banks. 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&amp;amp; low-income groups..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t>
  </si>
  <si>
    <t xml:space="preserve">v2q-009-candidate-07</t>
  </si>
  <si>
    <t xml:space="preserve">v2q-014-candidate-21</t>
  </si>
  <si>
    <t xml:space="preserve">v2q-025-candidate-14</t>
  </si>
  <si>
    <t xml:space="preserve">v2q-031-candidate-20</t>
  </si>
  <si>
    <t xml:space="preserve">v2q-018-candidate-10</t>
  </si>
  <si>
    <t xml:space="preserve">v2q-007-candidate-19</t>
  </si>
  <si>
    <t xml:space="preserve">pilot-v2-doc-pm-kmy-guidelines-0020-27037b9fe8a1</t>
  </si>
  <si>
    <t xml:space="preserve">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 to such of the remaining
Nominees as survive the Subscriber unless the Subscriber has made written request
otherwise to the LIC  in the prescribed form.
                                              13
18.  INTERPRETATION OF GUIDELINES:
It shall be a condition of the membership of the Scheme that on any question arising on
any point of interpretation of these Guidelines or any point relating to cessation of
membership, the decision of the DAC&amp;FW shall be final.
19.  COORDINATION AMONG VARIOUS PARTICIPATING AGENCIES
The DAC&amp;FW has entered into detailed Memorandum of Understanding (MoUs) with
various participating agencies for seamless implementation of the Scheme, namely, the
LIC, the CSC-SPV, the NPCI, the IDBI and the IBA. These MoUs contained detailed roles
and responsibilities of these agencies among themselves as well as towards smooth
implementation of the Scheme. Further, the DAC&amp;FW has also taken the key financial
institutions / authorities, namely, the Department of Financial Services (DFS) under the
Ministry of Finance, the Reserve Bank of India (RBI) and the Insurance Regulatory &amp;
Development  Authority  of  India (IRDAI) on-board  for  successful  operation  of  the
Scheme.
20.    REVIEW, MONITORING AND 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t>
  </si>
  <si>
    <t xml:space="preserve">v2q-014-candidate-15</t>
  </si>
  <si>
    <t xml:space="preserve">v2q-015-candidate-12</t>
  </si>
  <si>
    <t xml:space="preserve">v2q-004-candidate-16</t>
  </si>
  <si>
    <t xml:space="preserve">pilot-v2-doc-pm-kmy-guidelines-0022-e87f63954812</t>
  </si>
  <si>
    <r>
      <rPr>
        <sz val="11"/>
        <rFont val="Calibri"/>
        <family val="0"/>
        <charset val="1"/>
      </rPr>
      <t xml:space="preserve">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 liability on the other participating stakeholders. The
process to be followed for dispute resolution is provided in the MoUs.
g)    Any matter related to execution, grievance redressal, dispute resolution etc. shall
be  referred  to  the  Joint  Secretary (Farmers  Welfare), Department  of  Agriculture,
Cooperation and Farmers Welfare, Ministry of Agriculture &amp; farmers Welfare,  Krishi
Bhavan, New Delhi – 110001 for redressal.
                                    ******
                                              15
</t>
    </r>
    <r>
      <rPr>
        <sz val="11"/>
        <rFont val="DejaVu Sans"/>
        <family val="2"/>
      </rPr>
      <t xml:space="preserve">प्रधानमंत्री किसान मानधन योजना </t>
    </r>
    <r>
      <rPr>
        <sz val="11"/>
        <rFont val="Calibri"/>
        <family val="0"/>
        <charset val="1"/>
      </rPr>
      <t xml:space="preserve">(</t>
    </r>
    <r>
      <rPr>
        <sz val="11"/>
        <rFont val="DejaVu Sans"/>
        <family val="2"/>
      </rPr>
      <t xml:space="preserve">पीएम</t>
    </r>
    <r>
      <rPr>
        <sz val="11"/>
        <rFont val="Calibri"/>
        <family val="0"/>
        <charset val="1"/>
      </rPr>
      <t xml:space="preserve">-</t>
    </r>
    <r>
      <rPr>
        <sz val="11"/>
        <rFont val="DejaVu Sans"/>
        <family val="2"/>
      </rPr>
      <t xml:space="preserve">िेएमवाई</t>
    </r>
    <r>
      <rPr>
        <sz val="11"/>
        <rFont val="Calibri"/>
        <family val="0"/>
        <charset val="1"/>
      </rPr>
      <t xml:space="preserve">)
                                  प्रचालन संबंधी दिशाननिेश
1. </t>
    </r>
    <r>
      <rPr>
        <sz val="11"/>
        <rFont val="DejaVu Sans"/>
        <family val="2"/>
      </rPr>
      <t xml:space="preserve">स्िनम
      सरकार  ने  देश  के सभी भूधारक लघु और  सीमाांत  ककसानों  के ललए  </t>
    </r>
    <r>
      <rPr>
        <sz val="11"/>
        <rFont val="Calibri"/>
        <family val="0"/>
        <charset val="1"/>
      </rPr>
      <t xml:space="preserve">"</t>
    </r>
    <r>
      <rPr>
        <sz val="11"/>
        <rFont val="DejaVu Sans"/>
        <family val="2"/>
      </rPr>
      <t xml:space="preserve">प्रधानमांत्री ककसान
मान</t>
    </r>
    <r>
      <rPr>
        <sz val="11"/>
        <rFont val="Calibri"/>
        <family val="0"/>
        <charset val="1"/>
      </rPr>
      <t xml:space="preserve">-</t>
    </r>
    <r>
      <rPr>
        <sz val="11"/>
        <rFont val="DejaVu Sans"/>
        <family val="2"/>
      </rPr>
      <t xml:space="preserve">धन  योजना  </t>
    </r>
    <r>
      <rPr>
        <sz val="11"/>
        <rFont val="Calibri"/>
        <family val="0"/>
        <charset val="1"/>
      </rPr>
      <t xml:space="preserve">(</t>
    </r>
    <r>
      <rPr>
        <sz val="11"/>
        <rFont val="DejaVu Sans"/>
        <family val="2"/>
      </rPr>
      <t xml:space="preserve">पीएम</t>
    </r>
    <r>
      <rPr>
        <sz val="11"/>
        <rFont val="Calibri"/>
        <family val="0"/>
        <charset val="1"/>
      </rPr>
      <t xml:space="preserve">-</t>
    </r>
    <r>
      <rPr>
        <sz val="11"/>
        <rFont val="DejaVu Sans"/>
        <family val="2"/>
      </rPr>
      <t xml:space="preserve">केएमवाई</t>
    </r>
    <r>
      <rPr>
        <sz val="11"/>
        <rFont val="Calibri"/>
        <family val="0"/>
        <charset val="1"/>
      </rPr>
      <t xml:space="preserve">)", </t>
    </r>
    <r>
      <rPr>
        <sz val="11"/>
        <rFont val="DejaVu Sans"/>
        <family val="2"/>
      </rPr>
      <t xml:space="preserve">नामक  वृद्धावस्था  पेंशन  योजना   शुरू  की   है  जो एक
स्वैच्छिक और अांशदायी पेंशन  स्कीम  है और इसमें शालमल  होने की आयु </t>
    </r>
    <r>
      <rPr>
        <sz val="11"/>
        <rFont val="Calibri"/>
        <family val="0"/>
        <charset val="1"/>
      </rPr>
      <t xml:space="preserve">18 </t>
    </r>
    <r>
      <rPr>
        <sz val="11"/>
        <rFont val="DejaVu Sans"/>
        <family val="2"/>
      </rPr>
      <t xml:space="preserve">से </t>
    </r>
    <r>
      <rPr>
        <sz val="11"/>
        <rFont val="Calibri"/>
        <family val="0"/>
        <charset val="1"/>
      </rPr>
      <t xml:space="preserve">40 </t>
    </r>
    <r>
      <rPr>
        <sz val="11"/>
        <rFont val="DejaVu Sans"/>
        <family val="2"/>
      </rPr>
      <t xml:space="preserve">वर्ष  है। यह
स्कीम    </t>
    </r>
    <r>
      <rPr>
        <sz val="11"/>
        <rFont val="Calibri"/>
        <family val="0"/>
        <charset val="1"/>
      </rPr>
      <t xml:space="preserve">9 </t>
    </r>
    <r>
      <rPr>
        <sz val="11"/>
        <rFont val="DejaVu Sans"/>
        <family val="2"/>
      </rPr>
      <t xml:space="preserve">अगस्त</t>
    </r>
    <r>
      <rPr>
        <sz val="11"/>
        <rFont val="Calibri"/>
        <family val="0"/>
        <charset val="1"/>
      </rPr>
      <t xml:space="preserve">, 2019 </t>
    </r>
    <r>
      <rPr>
        <sz val="11"/>
        <rFont val="DejaVu Sans"/>
        <family val="2"/>
      </rPr>
      <t xml:space="preserve">से प्रभावी  है।
</t>
    </r>
    <r>
      <rPr>
        <sz val="11"/>
        <rFont val="Calibri"/>
        <family val="0"/>
        <charset val="1"/>
      </rPr>
      <t xml:space="preserve">2. </t>
    </r>
    <r>
      <rPr>
        <sz val="11"/>
        <rFont val="DejaVu Sans"/>
        <family val="2"/>
      </rPr>
      <t xml:space="preserve">उद्िेश्य और लाभ
      सरकार की ओर से ककसानों के ललए आय और मूल्य समथषन के ललए कई योजनाएां चलाई
गई  हैं। तथापप</t>
    </r>
    <r>
      <rPr>
        <sz val="11"/>
        <rFont val="Calibri"/>
        <family val="0"/>
        <charset val="1"/>
      </rPr>
      <t xml:space="preserve">, </t>
    </r>
    <r>
      <rPr>
        <sz val="11"/>
        <rFont val="DejaVu Sans"/>
        <family val="2"/>
      </rPr>
      <t xml:space="preserve">ककसानों के ललए एक सामाच्जक  सुरक्षा कवच सृच्जत करने की जरूरत महसूस की
गई  है  क्योंकक  वृद्धावस्था   में अधधकाांश ककसानों की आजीपवका  के साधन नह रह जाते। खेती</t>
    </r>
    <r>
      <rPr>
        <sz val="11"/>
        <rFont val="Calibri"/>
        <family val="0"/>
        <charset val="1"/>
      </rPr>
      <t xml:space="preserve">-
</t>
    </r>
    <r>
      <rPr>
        <sz val="11"/>
        <rFont val="DejaVu Sans"/>
        <family val="2"/>
      </rPr>
      <t xml:space="preserve">बाडी के ललए  खेतों  में कडी मेहनत करनी होती  है जो उनकी  उम्र की इस अवस्था  में कन न होता
है। यह समस्या लघु और सीमाांत ककसानों के ललए और भी बडी होती  है क्योंकक उनके पास  बुढापे
में बेहद मामूल  या  शून्य बचत होती  है।  प्रधानमांत्री ककसान मान धन योजना </t>
    </r>
    <r>
      <rPr>
        <sz val="11"/>
        <rFont val="Calibri"/>
        <family val="0"/>
        <charset val="1"/>
      </rPr>
      <t xml:space="preserve">(</t>
    </r>
    <r>
      <rPr>
        <sz val="11"/>
        <rFont val="DejaVu Sans"/>
        <family val="2"/>
      </rPr>
      <t xml:space="preserve">पीएम</t>
    </r>
    <r>
      <rPr>
        <sz val="11"/>
        <rFont val="Calibri"/>
        <family val="0"/>
        <charset val="1"/>
      </rPr>
      <t xml:space="preserve">-</t>
    </r>
    <r>
      <rPr>
        <sz val="11"/>
        <rFont val="DejaVu Sans"/>
        <family val="2"/>
      </rPr>
      <t xml:space="preserve">केएमवाई</t>
    </r>
    <r>
      <rPr>
        <sz val="11"/>
        <rFont val="Calibri"/>
        <family val="0"/>
        <charset val="1"/>
      </rPr>
      <t xml:space="preserve">) </t>
    </r>
    <r>
      <rPr>
        <sz val="11"/>
        <rFont val="DejaVu Sans"/>
        <family val="2"/>
      </rPr>
      <t xml:space="preserve">के
अांतगषत सभी भूधारक लघु और  सीमाांत ककसानों  पुरूर् और  स्त्री  दोनों  के ललए</t>
    </r>
  </si>
  <si>
    <t xml:space="preserve">v2q-013-candidate-15</t>
  </si>
  <si>
    <t xml:space="preserve">v2q-002-candidate-23</t>
  </si>
  <si>
    <t xml:space="preserve">pilot-v2-doc-apy-0003-68e7199c9d14</t>
  </si>
  <si>
    <t xml:space="preserve">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“https://enps.nsdl.com/eNPS/NationalPensionSystem.html “ and select “Atal Pension Yojana”. Select “APY Registration” Fill the basic details in the form. One can complete KYC through 3 options – Offline KYC – Where one has to upload XML file of Aadhaar Aadhaar – Where KYC is done through OTP verification on Mobile Number register with Aadhaar Virtual ID –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“confirms”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“https://enps.nsdl.com/eNPS/NationalPensionSystem.html “ and select “Atal Pension Yojana”. Helpline Number - - Toll Free Helpline number for APY Scheme is 1800-110-069. One can visit the nearest Bank branch or Post Office where he/ she is having a saving bank account and submit the APY registration form for opening the APY account.</t>
  </si>
  <si>
    <t xml:space="preserve">v2q-007-candidate-09</t>
  </si>
  <si>
    <t xml:space="preserve">v2q-023-candidate-07</t>
  </si>
  <si>
    <t xml:space="preserve">v2q-016-candidate-03</t>
  </si>
  <si>
    <t xml:space="preserve">v2q-016</t>
  </si>
  <si>
    <t xml:space="preserve">How can an experienced worker obtain formal recognition for skills learned outside a training course?</t>
  </si>
  <si>
    <t xml:space="preserve">PMKVY 4.0 Recognition of Prior Learning assesses, upskills, and certifies candidates who already possess relevant skills or prior-learning experience.</t>
  </si>
  <si>
    <t xml:space="preserve">pilot-v2-doc-pmkvy-sp-0004-57e566374b9c</t>
  </si>
  <si>
    <t xml:space="preserve">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 applicant appears for assessment by an NCVET-approved Awarding Body / Assessment Agency after completion of On-the-Job Training, requiring more than 70% biometric attendance to be eligible. Stage 9: On successful completion, the applicant is awarded a Quick Response (QR) code-based digital certificate, issued via DigiLocker, an email/phone download link, and the Skill India Digital profile page, along with one printed certificate provided free of cost by the Training Provider.</t>
  </si>
  <si>
    <t xml:space="preserve">STT/SP sub-scheme chunk for RPL question — different pathway, does not help answer how experienced workers get prior-learning recognition.</t>
  </si>
  <si>
    <t xml:space="preserve">v2q-023-candidate-19</t>
  </si>
  <si>
    <t xml:space="preserve">v2q-022-candidate-18</t>
  </si>
  <si>
    <t xml:space="preserve">v2q-003-candidate-24</t>
  </si>
  <si>
    <t xml:space="preserve">v2q-003-candidate-03</t>
  </si>
  <si>
    <t xml:space="preserve">v2q-021-candidate-02</t>
  </si>
  <si>
    <t xml:space="preserve">v2q-020-candidate-18</t>
  </si>
  <si>
    <t xml:space="preserve">pilot-v2-doc-pm-kisan-guidelines-0007-38a7fcb29c5d</t>
  </si>
  <si>
    <t xml:space="preserve">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 Jharkhand,
the following proposal of Government of Jharkhand was considered and approved by
the Committee:
“The farmer will be asked to submit ‘Vanshavali (Lineage)’ linked to the entry of land
record comprising his \ her ancestor’s name giving a chart of successor. This lineage
chart shall be submitted before the Gram Sabha for calling objections. After approval of
the Gram Sabha, the  village  level  \  circle  level revenue  officials  will  verify and
authenticate the Vanshawali and possession of holding. This authenticated  list of
farmers after due verification of succession chart shall be countersigned by the District
level revenue  authority. Farmers’ names,  subject  to the exclusion  criterion  after
following the aforementioned process, shall be uploaded on the PM-Kisan portal along
with other required details for this disbursement of benefit under the scheme.”
6.    Strategy for Implementation
6.1   The States shall prepare database of eligible beneficiary land holder farmer
families in the villages capturing the Name, Age, Gender, Category (SC/ST), Aadhaar
Number, Bank  Account Number and  the  Mobile Number  of  the  beneficiaries.
Responsibility of identifying the land holder farmer family eligible for benefit under the
scheme shall be of the State  / UT Government. In case of beneficiaries in States of
Assam, Meghalaya, J&amp;K where Aadhaar number has not been issued to most of the
citizens, Aadhaar number shall be collected for those beneficiaries where it is available
and for others alternate prescribed documents such as Driving Licence, Voters’ ID Card,
NREGA</t>
  </si>
  <si>
    <t xml:space="preserve">v2q-027-candidate-07</t>
  </si>
  <si>
    <t xml:space="preserve">pilot-v2-doc-pmay-g-0000-d4162175877d</t>
  </si>
  <si>
    <t xml:space="preserve">Pradhan Mantri Awaas Yojana - Gramin. Ministry Of Rural Development. Department of Rural Development. Ministry Of Housing And Urban Affairs (MoHUA).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Launch on 1st April 2016, Pradhan Mantri Awaas Yojana Gramin (PMAY-G) is centre's flagship mission by the Ministry of Rural Development (MoRD), implemented by the</t>
  </si>
  <si>
    <t xml:space="preserve">v2q-021-candidate-09</t>
  </si>
  <si>
    <t xml:space="preserve">v2q-003-candidate-15</t>
  </si>
  <si>
    <t xml:space="preserve">v2q-031-candidate-08</t>
  </si>
  <si>
    <t xml:space="preserve">v2q-026-candidate-12</t>
  </si>
  <si>
    <t xml:space="preserve">v2q-005-candidate-04</t>
  </si>
  <si>
    <t xml:space="preserve">v2q-030-candidate-23</t>
  </si>
  <si>
    <t xml:space="preserve">v2q-002-candidate-18</t>
  </si>
  <si>
    <t xml:space="preserve">v2q-004-candidate-22</t>
  </si>
  <si>
    <t xml:space="preserve">v2q-005-candidate-19</t>
  </si>
  <si>
    <t xml:space="preserve">v2q-034-candidate-05</t>
  </si>
  <si>
    <t xml:space="preserve">pilot-v2-doc-pm-poshan-0001-f1d73701c602</t>
  </si>
  <si>
    <t xml:space="preserve">PM POSHAN - Prime Minister's Overarching Scheme For Holistic Nourishment</t>
  </si>
  <si>
    <t xml:space="preserve">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 The applicant must be a citizen of India. The applicant must be studying in a Primary or Upper Primary class (Class 1st to Class 8th) in a Government or a Government-aided school.. There is no application process for this scheme. PM POSHAN is equally applicable to all children who are studying in Government and Government – aided schools.</t>
  </si>
  <si>
    <t xml:space="preserve">v2q-009-candidate-04</t>
  </si>
  <si>
    <t xml:space="preserve">pilot-v2-doc-apy-0001-add48d27a4a2</t>
  </si>
  <si>
    <t xml:space="preserve">unorganized sector and encourages the workers to voluntarily save for retirement.. 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subscriber&amp;#39;s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t>
  </si>
  <si>
    <t xml:space="preserve">v2q-008-candidate-13</t>
  </si>
  <si>
    <t xml:space="preserve">pilot-v2-doc-pmfby-0000-d9ad07736d66</t>
  </si>
  <si>
    <t xml:space="preserve">Pradhan Mantri Fasal Bima Yojna (PMFBY). Ministry Of Agriculture and Farmers Welfare. Launched on 18th February 2016, &amp;quot;Pradhan Mantri Fasal Bima Yojana&amp;quot;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 Pradhan Mantri Fasal Bima Yojana was launched in 2016 with the aim to support farmers by providing an affordable comprehensive risk cover for crops.. Affordable Premiums: The maximum premium payable by the farmer will be 2% for the Kharif food and oilseed crops. For rabi food and oilseeds crop, it is 1.5% and for yearly commercial or horticultural crops it will be 5%. The remaining premium is subsidized by the government.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t>
  </si>
  <si>
    <t xml:space="preserve">v2q-034-candidate-12</t>
  </si>
  <si>
    <t xml:space="preserve">v2q-017-candidate-06</t>
  </si>
  <si>
    <t xml:space="preserve">pilot-v2-doc-pmkvy-stt-0002-9b8eeae9f924</t>
  </si>
  <si>
    <t xml:space="preserve">Pradhan Mantri Kaushal Vikas Yojana 4.0 - Short-Term Training</t>
  </si>
  <si>
    <t xml:space="preserve">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 Grade A (85% and above), Grade B (70% to less than 85%). More than 70% biometric (AEBAS) attendance is required for each candidate to appear in the assessment. The indicative average per-candidate cost is ₹9,540 for a 300-hour STT course (including Skill Hubs) and ₹13,724 for a 450-hour STT course, derived considering a base training cost of ₹27.89 per hour. Funds are released to Training Providers / Training Centres / Skill Hubs in three tranches: Tranche 1 — 30% on commencement of training; Tranche 2 — 30% on the batch achieving 70% AEBAS attendance once and 50% of training being over; Tranche 3 — 40% on certification (passed candidates only). The accidental insurance coverage is valid for one year, and post-certification tracking is conducted for one year from the date of certification.. The applicant should be an Indian national. The applicant should possess a valid Aadhaar. The applicant should be in the age group of 15 to 45 years. The applicant should fulfil the eligibility criteria of the respective job role, as defined in the course curriculum of the job 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t>
  </si>
  <si>
    <t xml:space="preserve">v2q-024-candidate-16</t>
  </si>
  <si>
    <t xml:space="preserve">pilot-v2-doc-pmkvy-stt-0000-546ef459ea0e</t>
  </si>
  <si>
    <t xml:space="preserve">Pradhan Mantri Kaushal Vikas Yojana 4.0 - Short-Term Training. Ministry Of Skill Development And Entrepreneurship. Implemented between FY 2022-2026 under the "Skill India Programme", the scheme component "Pradhan Mantri Kaushal Vikas Yojana 4.0 - Short-Term Training" by the Ministry of Skill Development and Entrepreneurship (MSDE), Government of India, aims to deliver market-oriented and demand-driven skill training to youth and to enhance their employability through industry-relevant, NSQF-aligned courses with an inherent On-the-Job Training component. Through this scheme component, free NSQF-aligned skill training ranging between 300 and 600 hours, On-the-Job Training (OJT), an induction kit, assessment and certification, accidental insurance, and applicable allowances are provided to candidates looking for fresh skilling, re-skilling, or upskilling, including out-of-education candidates, school/college dropouts, and unemployed youth of Indian nationality. The scheme is implemented by the National Skill Development Corporation (NSDC), the implementing arm of MSDE and the designated Central Nodal Agency (CNA), through accredited and affiliated Training Centres.. The scheme aims to provide demand-driven, employability-focused skill training. Through this scheme, free NSQF-aligned training, On-the-Job Training, certification, and allowances are provided to Indian youth.. The scheme provides free NSQF-aligned skill training ranging between 300 and 600 hours; courses of higher duration based on industry/sectoral demand can also be offered, and training in higher-level NSQF job roles (level 5, 6 and above) is also imparted. On-the-Job Training (OJT) is provided as an inherent component to give candidates practical exposure and a live-work environment, with the duration guided by 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t>
  </si>
  <si>
    <t xml:space="preserve">v2q-005-candidate-21</t>
  </si>
  <si>
    <t xml:space="preserve">v2q-019-candidate-17</t>
  </si>
  <si>
    <t xml:space="preserve">v2q-007-candidate-26</t>
  </si>
  <si>
    <t xml:space="preserve">v2q-032-candidate-09</t>
  </si>
  <si>
    <t xml:space="preserve">v2q-005-candidate-15</t>
  </si>
  <si>
    <t xml:space="preserve">pilot-v2-doc-pm-kmy-guidelines-0001-5d83566dbb68</t>
  </si>
  <si>
    <t xml:space="preserve">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 Vehicle” a company promoted by the Ministry of
       Electronics and Information Technology (MeitY).
   (d) “EFFECTIVE DATE” in relation to the Scheme means the date from which this
     scheme takes effect / starts i.e. the 9th August, 2019;
                                               1
(e)   “Enrolling Agency” or “Enrollment Agency” means the agency chosen by
   the Government for enrollment of subscribers. Presently, CSC-SPV and State Nodal
    Officers (SNOs) or agency chosen / nominated by them is the enrolling agency.
(f) “ENTRY DATE” means
       a.  in relation to the original subscribers the Effective Date; and
       b.  in relation to new subscribers admitted to the Scheme after the Effective
          Date, their Date of Joining;
(g) “Eligible subscriber” means a Small and Marginal Farmer who is eligible to join
    this Scheme;
(h) “Family” means, —
     (i) wife, in the case of male eligible subscriber;
     (ii) husband, in the case of a female eligible subscriber;
(i)   “Government” or “Central Government” or “Ministry” or “Department”
   means “Government of India through the Ministry of Agriculture and Farmers
   Welfare, Department of Agriculture, Cooperation and Farmers Welfare”;
(j)   “LIC” or “Corporation”  means  “Life Insurance Corporation of India”  , a
   statutory corporation established by Life Insurance Corporation Act, 1956;
(k) “Matching contribution” means the equal amount as contributed by the eligible
   subscriber, payable by the Central Government to the Fund;
(l)  “NORMAL RETIREMENT DATE” or the “Vesting date” shall mean in respect
   of each subscriber the date on which he / she completes the age</t>
  </si>
  <si>
    <t xml:space="preserve">v2q-014-candidate-08</t>
  </si>
  <si>
    <t xml:space="preserve">v2q-030-candidate-09</t>
  </si>
  <si>
    <t xml:space="preserve">v2q-006-candidate-17</t>
  </si>
  <si>
    <t xml:space="preserve">v2q-028-candidate-06</t>
  </si>
  <si>
    <t xml:space="preserve">RPL enrollment-frequency restriction — correct sub-scheme, does not state what RPL certifies.</t>
  </si>
  <si>
    <t xml:space="preserve">v2q-030-candidate-20</t>
  </si>
  <si>
    <t xml:space="preserve">v2q-006-candidate-24</t>
  </si>
  <si>
    <t xml:space="preserve">v2q-007-candidate-03</t>
  </si>
  <si>
    <t xml:space="preserve">v2q-014-candidate-16</t>
  </si>
  <si>
    <t xml:space="preserve">pilot-v2-doc-pm-kmy-guidelines-0000-0582a8323d67</t>
  </si>
  <si>
    <t xml:space="preserve">Pradhan Mantri Kisan Maan Dhan Yojana (PM-KMY)
                   OPERATIONAL GUIDELINES
1.   Scheme
     The Government of India has introduced an old age pension scheme for all land
holding Small and Marginal Farmers (SMFs)  in the country, namely, the “Pradhan
Mantri Kisan Maan-Dhan Yojana (PM-KMY)”, as a voluntary and contributory
pension scheme for the entry age group of 18 to 40 years. The Scheme is effective from
the 9th August, 2019.
2.    Objective and Benefits
      There have been a series of interventions for income and price support by the
Government for farmers. However, there is a felt need to create a social security net for
the farmers as old age may result in loss of livelihood for many of them.  Farming
requires hard work in fields which becomes difficult at an advanced age. The problem is
compounded in respect of small and marginal farmers as they have minimal or no savings
to provide for old age. The Pradhan Mantri Kisan Maan-Dhan Yojana (PM-KMY) provides
for an assured monthly pension of Rs. 3000/- to  all land holding Small and Marginal
Farmers (SMFs), whether male or female, on their attaining the age of 60 years. Farmers
falling within the purview  of the exclusion  criteria (as defined  in Para 5  of these
guidelines)  are, however, not  eligible  for the  benefit. The key features and other
consequential benefits accruing to the subscribers of the Scheme are detailed further in
these guidelines.
3.    Definitions :
    (a) “BENEFICIARY” shall mean the subscriber and in case of his/her death his/her
      spouse;
   (b) “Contribution” means the amount specified in the contribution chart appended
      with this Scheme  as modified by the Government from time to time, to be
      payable monthly or periodically by an eligible subscriber to the scheme;
    (c) “CSC” means “Common Service Centre e-Governance Services India
      Limited – Special Purpose</t>
  </si>
  <si>
    <t xml:space="preserve">v2q-001-candidate-09</t>
  </si>
  <si>
    <t xml:space="preserve">pilot-v2-doc-pmay-g-0005-c6e2fcfefcd0</t>
  </si>
  <si>
    <t xml:space="preserve">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Step 1: Exclusion of pucca houses All households living in houses with pucca roofs and/or pucca walls and households living in houses with more than 2 rooms are filtered out.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t>
  </si>
  <si>
    <t xml:space="preserve">v2q-004-candidate-06</t>
  </si>
  <si>
    <t xml:space="preserve">v2q-019-candidate-12</t>
  </si>
  <si>
    <t xml:space="preserve">v2q-009-candidate-15</t>
  </si>
  <si>
    <t xml:space="preserve">v2q-022-candidate-10</t>
  </si>
  <si>
    <t xml:space="preserve">v2q-018-candidate-16</t>
  </si>
  <si>
    <t xml:space="preserve">v2q-034-candidate-17</t>
  </si>
  <si>
    <t xml:space="preserve">v2q-007-candidate-23</t>
  </si>
  <si>
    <t xml:space="preserve">v2q-019-candidate-07</t>
  </si>
  <si>
    <t xml:space="preserve">v2q-001-candidate-02</t>
  </si>
  <si>
    <t xml:space="preserve">v2q-021-candidate-19</t>
  </si>
  <si>
    <t xml:space="preserve">v2q-027-candidate-18</t>
  </si>
  <si>
    <t xml:space="preserve">v2q-030-candidate-02</t>
  </si>
  <si>
    <t xml:space="preserve">v2q-010-candidate-13</t>
  </si>
  <si>
    <t xml:space="preserve">v2q-013-candidate-18</t>
  </si>
  <si>
    <t xml:space="preserve">v2q-010-candidate-14</t>
  </si>
  <si>
    <t xml:space="preserve">v2q-002-candidate-04</t>
  </si>
  <si>
    <t xml:space="preserve">v2q-003-candidate-17</t>
  </si>
  <si>
    <t xml:space="preserve">v2q-010-candidate-21</t>
  </si>
  <si>
    <t xml:space="preserve">v2q-009-candidate-20</t>
  </si>
  <si>
    <t xml:space="preserve">v2q-014-candidate-09</t>
  </si>
  <si>
    <t xml:space="preserve">pilot-v2-doc-pm-poshan-0000-7be831685336</t>
  </si>
  <si>
    <t xml:space="preserve">PM POSHAN - Prime Minister's Overarching Scheme For Holistic Nourishment. Ministry of Education. Department of School Education and Literacy. Ministry Of Education. 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POSHAN Abhiyaan is one of the many schemes under the umbrella scheme "Integrated Child Development Services Scheme (ICDS)". ICDS also includes Anganwadi Services Scheme, Pradhan Mantri Matru Vandana Yojana, and Scheme for Adolescent Girls.. 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 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t>
  </si>
  <si>
    <t xml:space="preserve">v2q-029-candidate-08</t>
  </si>
  <si>
    <t xml:space="preserve">v2q-020-candidate-02</t>
  </si>
  <si>
    <t xml:space="preserve">v2q-033-candidate-07</t>
  </si>
  <si>
    <t xml:space="preserve">pilot-v2-doc-pmegp-0001-f900b4f4f97a</t>
  </si>
  <si>
    <t xml:space="preserve">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2nd Loan for Upgradation of Existing PMEGP / REGP /</t>
  </si>
  <si>
    <t xml:space="preserve">PMEGP linkage funds for awareness/monitoring — correct scheme but not credit-linked subsidy mechanism.</t>
  </si>
  <si>
    <t xml:space="preserve">v2q-001-candidate-12</t>
  </si>
  <si>
    <t xml:space="preserve">v2q-004-candidate-21</t>
  </si>
  <si>
    <t xml:space="preserve">pilot-v2-doc-pmmy-0002-526833661bcb</t>
  </si>
  <si>
    <t xml:space="preserve">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Fill in Personal Details and Professional Details. Step 02: Select hand-holding agencies if any help is required for preparing project proposals etc., otherwise click &amp;quot;Loan Application Center&amp;quot;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</si>
  <si>
    <t xml:space="preserve">v2q-029-candidate-07</t>
  </si>
  <si>
    <t xml:space="preserve">PMUY-2 application steps (document submission) — correct scheme, no migrant facility or predecessor LPG transition.</t>
  </si>
  <si>
    <t xml:space="preserve">v2q-015-candidate-15</t>
  </si>
  <si>
    <t xml:space="preserve">v2q-006-candidate-07</t>
  </si>
  <si>
    <t xml:space="preserve">v2q-006-candidate-21</t>
  </si>
  <si>
    <t xml:space="preserve">v2q-029-candidate-01</t>
  </si>
  <si>
    <t xml:space="preserve">v2q-024-candidate-09</t>
  </si>
  <si>
    <t xml:space="preserve">pilot-v2-doc-pm-janman-0000-69ac65d10edc</t>
  </si>
  <si>
    <t xml:space="preserve">PM Janjati Adivasi Nyaya Maha Abhiyan (PM JANMAN). Ministry Of Tribal Affairs. The scheme “PM- Janjati Adivasi Nyaya Maha Abhiyan (PM JANMAN)” was launched by the Ministry of Tribal Affairs, Government of India, aims to improve the socio-economic status of Particularly Vulnerable Tribal Groups (PVTGs) by bridging gaps in health, education, and livelihoods, and by saturating PVTG communities and families with basic facilities and services. The scheme provides 11 critical interventions through nine line Ministries/Departments, focusing on ensuring access to pucca houses, safe drinking water, road and mobile connectivity, electricity, and vocational education for individual households and habitations. A unique aspect is the inter-ministerial convergence, with the Ministry of Tribal Affairs serving as the nodal ministry while each participating ministry implements its respective Central Sector and Centrally Sponsored schemes.. The scheme aims to improve the socio-economic status of PVTGs by saturating families and habitations with basic facilities and services. It provides 11 critical infrastructure and welfare interventions, including housing, water, electricity, and connectivity.. Housing Provision of pucca houses to all eligible Particularly Vulnerable Tribal Group households having kaccha houses (Target: 4,90,000 households). The basic unit cost of the house is enhanced to ₹2,00,000/-, with additional facilities raising it to ₹2,39,000/-. Road Connectivity Construction of connecting roads (Target: 8,000 KM) linking approximately 6,500 Particularly Vulnerable Tribal Group villages. The construction cost per Kilometer would be ₹1,00,00,000/-. Drinking Water Provision of piped water supply/Functional Household Tap Connection (FHTC) to all Particularly Vulnerable Tribal Group households. Community water supply will be provided to villages/habitations with a population of less than 20 households. Health Deployment of Mobile Medical Units (MMUs) (Target: 1,000 MMUs) in Particularly Vulnerable Tribal Group habitations/villages. The cost is ₹33,88,000/- per MMU per annum, with Operational Expenditure (Op Ex) as per norms. Education Hostels Construction of residential hostels (Target: 500 hostels)</t>
  </si>
  <si>
    <t xml:space="preserve">v2q-029-candidate-05</t>
  </si>
  <si>
    <t xml:space="preserve">v2q-018-candidate-05</t>
  </si>
  <si>
    <t xml:space="preserve">v2q-011-candidate-13</t>
  </si>
  <si>
    <t xml:space="preserve">v2q-010-candidate-16</t>
  </si>
  <si>
    <t xml:space="preserve">v2q-016-candidate-15</t>
  </si>
  <si>
    <t xml:space="preserve">v2q-017-candidate-10</t>
  </si>
  <si>
    <t xml:space="preserve">v2q-008-candidate-02</t>
  </si>
  <si>
    <t xml:space="preserve">pilot-v2-doc-pmkvy-stt-0001-ea2787dec4e8</t>
  </si>
  <si>
    <t xml:space="preserve">the approved Qualification Pack. An induction kit consisting of a T-shirt (male) or Jacket (female) and a bag is provided; the uniform, induction kit, and participant handbook are covered up to a maximum of ₹500 per candidate. Assessment and Certification is provided, with a pay-out of ₹600 per candidate per assessment given to the Sector Skill Councils (SSCs) / Awarding Bodies for overseeing and facilitating final assessments. Every candidate is offered one chance of re-assessment free of cost, with the fees borne from the scheme. Accidental Insurance with one year of coverage is provided to every certified candidate, as per prevalent rates (₹14.16). Boarding and Lodging along with transport facilities are provided to special groups (women and Persons with Disability) and Special Areas as defined in Common Norms, and may also be extended to Aspirational, Border, Tribal-dominated, and LWE-affected districts. Conveyance/Transportation cost is permissible for women and Persons with Disability (PwD) in case of non-residential training, as per Common Norms. Additional support of ₹5,000 towards assistive devices, aids, and appliances is provided to all PwD candidates. A free printed certificate is provided, along with a QR-code-based digital certificate issued through DigiLocker, an email/phone download link, and the Skill India Digital profile; a convocation ceremony is also held for passed-out candidates. Post-certification, candidates are tracked for one year, linked with Rojgar Melas and Apprenticeship Melas, and given access through Skill India Digital to jobs, apprenticeship opportunities, and other facilities including loans for entrepreneurship; a post-certification tracking allowance of up to ₹50 per certified candidate is utilised for this purpose. On passing the assessment, the candidate is awarded a graded certificate: for NSQF Level 1, 2, 3 — Grade A (85% and above), Grade B (70% to less than 85%), Grade C (50% to 70%); for NSQF Level 4 and above —</t>
  </si>
  <si>
    <t xml:space="preserve">v2q-027-candidate-06</t>
  </si>
  <si>
    <t xml:space="preserve">v2q-015-candidate-07</t>
  </si>
  <si>
    <t xml:space="preserve">v2q-006-candidate-06</t>
  </si>
  <si>
    <t xml:space="preserve">pilot-v2-doc-pmjjby-0000-47f7bb620cd4</t>
  </si>
  <si>
    <t xml:space="preserve">Pradhan Mantri Jeevan Jyoti Bima Yojana</t>
  </si>
  <si>
    <t xml:space="preserve">Pradhan Mantri Jeevan Jyoti Bima Yojana. Ministry Of Finance. Department of Financial Service. Banks. 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 Pradhan Mantri Jeevan Jyoti Bima Yojana (PMJJBY) is an insurance scheme offering life insurance cover for death due to any reason. It is a one-year cover, renewable from year to year. The scheme is offered by banks/post offices and administered through life insurance companies.. PMJJBY offers one- year term life cover of ₹ 2.00 Lakh to all the subscribers in the age group of 18-50 years.1. It covers death due to any reason. Premium payable is ₹ 436/- per annum per subscriber, to be auto debited from the subscriber’s bank/post office account.. The age of the applicant must be between 18 to 50 Years. The applicant must hold an individual bank / post office account.. 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</si>
  <si>
    <t xml:space="preserve">v2q-031-candidate-15</t>
  </si>
  <si>
    <t xml:space="preserve">v2q-014-candidate-20</t>
  </si>
  <si>
    <t xml:space="preserve">v2q-009-candidate-16</t>
  </si>
  <si>
    <t xml:space="preserve">pilot-v2-doc-pm-kmy-guidelines-0021-7ce201d9d183</t>
  </si>
  <si>
    <t xml:space="preserve">GRIEVANCE REDRESSAL MECHANISM
a)    An Empowered Committee under the Chairmanship of Cabinet Secretary with
Secretaries  of  Agriculture &amp;  Farmers’  Welfare, MeiTY, Department  of  Expenditure,
Department of Financial Services and any other Secretary concerned as members shall
review and monitor implementation of the Scheme through appropriate implementation
strategies and to approve any modifications in the Scheme within the within the overall
financial parameters of Scheme approved by the Cabinet, for effective implementation.
b)    The  overall  implementation  of  the Scheme would be done by  the  Project
Monitoring Unit (PMU) set up for PM-Kisan Scheme at Central level in the DAC&amp;FW. The
PMU   shall   also  undertake   publicity  campaign   (Information,   Education  and
Communication-IEC) for the Scheme and also incur various administrative expenses.
c)    Each State/UT Government will designate a Nodal Department for implementation
of the scheme and coordinating with Central Government with regard to implementation
of the Scheme.
d)   A Grievance Redressal  Cell  shall be set up both at State and  District Levels
accordingly with representation of State Nodal Officers, State Level Bankers’ Committee
and  Regional Manager,  LIC.    Similarly,  District  Levels  shall have DLBC and  LIC
Representatives along with District level Government Officers.
e)      All disputes to the extent of and limited to the transactions routed through
National Automated Clearing House (NACH) system should be routed by the banks
through the Dispute Management System (DMS) provided by NPCI.  The disputes so
                                              14
raised on the Sponsor Bank shall be resolved within 30 days from the date of dispute. If
the Sponsor Bank fails to respond / resolve the dispute within agreed time line, the
disputed amount  will be debited  to the settlement account  of the Sponsor Bank
maintained with Reserve Bank of India (RBI).
f)    Any disputes other than that detailed above shall be resolved by LIC, Sponsor
Bank and the Ministry without any</t>
  </si>
  <si>
    <t xml:space="preserve">v2q-001-candidate-10</t>
  </si>
  <si>
    <t xml:space="preserve">v2q-020-candidate-10</t>
  </si>
  <si>
    <t xml:space="preserve">v2q-025-candidate-09</t>
  </si>
  <si>
    <t xml:space="preserve">v2q-026-candidate-20</t>
  </si>
  <si>
    <t xml:space="preserve">pilot-v2-doc-pm-kisan-guidelines-0012-a77da98de388</t>
  </si>
  <si>
    <t xml:space="preserve">However,
      these attributes are not essential for purpose of transfer of money.
These attributes are illustrated on PM-KISAN Portal http://pmkisan.gov.in as
follows
                                         8
9.4   There are 3 ways through which a State / UT can onboard on the PM Kisan
Portal:
       (a)      If a State / UT has village / district wise list of farmers, they may upload
      the same in a pre-defined format and with the help of local NIC State Unit.
       (b)   Some existing data of farmers is already available on the PM-Kisan Portal
            which will be visible on selection of States / Districts / Village. States / UTs
            which do not have their own list may use this village-wise list of farmers as
             provided on the portal and edit the same to finalize the farmers’ list. For
               this the correction window  shall be available  at PM-Kisan  portal  for
             authorized users of District and Block officials.
        (c)       If States / UTs want to make fresh entry of a farmer, provision is there for
               registration of these farmers in a defined and standardized format.
9.5   Databases of Pradhan Mantri Fasal Bima Yojana (PMFBY), Soil Health Cards,
Socio Economic and Caste Census (SECC) can also be utilized for this purpose.
State/UT wise status of number of farmer records shall be available at http://pmkisan.gov.in.
9.6   Records preparation process through PM-KISAN Portal:
      1. State-admin and District-admin need to be  identified for creation of login
         credentials or approval of login credentials  in case of self-registration by
           District and Block / Tehsil / Taluka officials.
                                         9
STATE ADMIN
        DISTRICT ADMIN                 DISTRICT ADMIN                                                                       DISTRICT ADMIN
  BLOCK    BLOCK    BLOCK     BLOCK    BLOCK    BLOCK     BLOCK    BLOCK    BLOCK
  USER     USER     USER      USER     USER     USER      USER     USER     USER
      2. Farmers list as available on the portal shall be available at Block  / Tehsil  /
        Taluka level official’s login.
      3. Search</t>
  </si>
  <si>
    <t xml:space="preserve">v2q-005-candidate-13</t>
  </si>
  <si>
    <t xml:space="preserve">v2q-016-candidate-04</t>
  </si>
  <si>
    <t xml:space="preserve">pilot-v2-doc-pmkvy-sp-0003-738795a9ef96</t>
  </si>
  <si>
    <t xml:space="preserve">special attention, or should be undertaking job roles with a focus on future skills.. The applicant should not be enrolled again in the same job role in which he/she was trained earlier. The applicant, if already certified once under PMKVY, will be discouraged from opting for a lower National Skills Qualification Framework (NSQF) level course in the same sector; however, a higher job role in the same sector is permitted.. Stage 1: The applicant first registers on the Skill India Digital (SID) platform or the mobile application developed for the purpose; profile verification is completed through mobile-based OTP / eKYC, and a de-duplication check is carried out. Stage 2: The applicant is counselled by the PIA/trainer on areas including a brief about MSDE, the Skill India programme, and RPL processes; eligibility for RPL certification; benefits and how to avail them; possible career progression (vertical and horizontal); and employment opportunities. The Induction Video on RPL is also shown at this stage. Stage 3: A de-duplication check is carried out against the data available in the Skill India Digital database, so that the applicant is not enrolled again in the same job role in which he/she was trained earlier. Stage 4: The applicant's profile is completed, with existing details fetched from other portals such as e-Shram and National Career Services (NCS). Stage 5: The applicant avails online counselling offered through Skill India Digital to select an appropriate course and Training Centre. Stage 6: The applicant selects the nearest Training Centre based on the availability of the preferred job role and the quality of training infrastructure (rating, centre profile), or is mapped automatically through logic-based mapping to the nearest Training Centre. Stage 7: On selection and enrolment, the applicant undergoes training, followed by On-the-Job Training (OJT) in applicable job roles. Stage 8: The</t>
  </si>
  <si>
    <t xml:space="preserve">PMKVY-SP enrollment restriction from SP doc — SP is a different pathway; does not address RPL's assess/certify function; wrong sub-scheme for v2q-016 which is RPL-specific; downgrade to 0.</t>
  </si>
  <si>
    <t xml:space="preserve">v2q-034-candidate-01</t>
  </si>
  <si>
    <t xml:space="preserve">v2q-030-candidate-21</t>
  </si>
  <si>
    <t xml:space="preserve">v2q-009-candidate-11</t>
  </si>
  <si>
    <t xml:space="preserve">pilot-v2-doc-pm-kmy-guidelines-0005-1b88dfec836a</t>
  </si>
  <si>
    <t xml:space="preserve">have the option to allow payment of his/her voluntary contribution
        to the Scheme from the financial benefits received by them from the PM-KISAN
       Scheme, directly.
 (v)  The eligible SMFs who are desirous of using their PM-Kisan benefit for contributing
         for PM-KMY, will have to sign and submit an enrolment-cum-auto-debit-mandate
       form for giving their consent for auto-debiting their bank accounts, in which their
       PM-Kisan benefits are credited, so that their contributions are automatically paid;
 (vi) The eligible SMFs who are not beneficiaries of PM-Kisan or who have not given
       consent  to  allow payment from  the  benefit  of PM-Kisan  shall  submit an
       enrolment-cum-auto-debit mandate form for giving their consent to auto-debit a
       bank account which is normally used by them for bank transactions;
 (vii) The Central Government through the Department of Agriculture Cooperation and
       Farmers Welfare shall also contribute an equal amount as contributed by the
         eligible subscriber, to the pension Fund. Account of such co-contributions shall be
       maintained separately by the LIC and these co-contributions along with fund
        earnings from time to time shall be utilized for pension payment on the date of
        vesting. Co-contributions would not be paid to subscribers in case of pre-mature
         exits. In such a case, the co-contributions along with fund earnings  will be
        transferred back to Pension Fund.
 (viii) The State  / UT Governments  will have the option of sharing the burden of
         individual SMF beneficiary’s contribution.
 (ix) The monthly contributions will fall due on the same day every month as enrolment
        date. The beneficiaries may also chose an option to pay their contributions on
        quarterly, 4-monthly or half-yearly basis. Such contributions will fall due on the
      same day of such period as the date of enrollment;
                                               4
(x)  The amount of the monthly contribution shall range between Rs.55 to Rs.200 per
      month depending upon the</t>
  </si>
  <si>
    <t xml:space="preserve">v2q-002-candidate-10</t>
  </si>
  <si>
    <t xml:space="preserve">v2q-031-candidate-06</t>
  </si>
  <si>
    <t xml:space="preserve">v2q-017-candidate-03</t>
  </si>
  <si>
    <t xml:space="preserve">v2q-009-candidate-23</t>
  </si>
  <si>
    <t xml:space="preserve">v2q-007-candidate-01</t>
  </si>
  <si>
    <t xml:space="preserve">v2q-027-candidate-16</t>
  </si>
  <si>
    <t xml:space="preserve">v2q-012-candidate-04</t>
  </si>
  <si>
    <t xml:space="preserve">v2q-020-candidate-16</t>
  </si>
  <si>
    <t xml:space="preserve">v2q-003-candidate-16</t>
  </si>
  <si>
    <t xml:space="preserve">v2q-006-candidate-26</t>
  </si>
  <si>
    <t xml:space="preserve">v2q-031-candidate-04</t>
  </si>
  <si>
    <t xml:space="preserve">v2q-015-candidate-05</t>
  </si>
  <si>
    <t xml:space="preserve">v2q-012-candidate-13</t>
  </si>
  <si>
    <t xml:space="preserve">v2q-021-candidate-17</t>
  </si>
  <si>
    <t xml:space="preserve">v2q-003-candidate-02</t>
  </si>
  <si>
    <t xml:space="preserve">pilot-v2-doc-pmjdy-0002-8b8c40538d6e</t>
  </si>
  <si>
    <t xml:space="preserve">their strong network of BCs/Bank Mitras are providing hassle free services to the customers in remote / rural areas.. The applicant should be an Indian National. If minors above ten years apply, they will require support from their legal guardians for administering their PMJDY account.. Step 1- Go to the official portal of PMJDY. Step 2- Under the &amp;quot;e-documents&amp;quot; section, you will find live links for &amp;quot;Account Opening Form&amp;quot;.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</si>
  <si>
    <t xml:space="preserve">v2q-020-candidate-24</t>
  </si>
  <si>
    <t xml:space="preserve">v2q-006-candidate-02</t>
  </si>
  <si>
    <t xml:space="preserve">v2q-022-candidate-14</t>
  </si>
  <si>
    <t xml:space="preserve">v2q-002-candidate-09</t>
  </si>
  <si>
    <t xml:space="preserve">v2q-014-candidate-23</t>
  </si>
  <si>
    <t xml:space="preserve">v2q-013-candidate-05</t>
  </si>
  <si>
    <t xml:space="preserve">PMAY-G priority-beneficiary category list (leprosy/cancer, single girl child, ST) — wrong scheme entirely for v2q-013 which asks about PMUY/LPG; downgrade to 0.</t>
  </si>
  <si>
    <t xml:space="preserve">v2q-009-candidate-05</t>
  </si>
  <si>
    <t xml:space="preserve">v2q-012-candidate-24</t>
  </si>
  <si>
    <t xml:space="preserve">v2q-007-candidate-05</t>
  </si>
  <si>
    <t xml:space="preserve">v2q-018-candidate-03</t>
  </si>
  <si>
    <t xml:space="preserve">v2q-023-candidate-16</t>
  </si>
  <si>
    <t xml:space="preserve">pilot-v2-doc-pmay-g-0006-d323213e3255</t>
  </si>
  <si>
    <t xml:space="preserve">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</si>
  <si>
    <t xml:space="preserve">v2q-015-candidate-02</t>
  </si>
  <si>
    <t xml:space="preserve">v2q-023-candidate-20</t>
  </si>
  <si>
    <t xml:space="preserve">v2q-033-candidate-01</t>
  </si>
  <si>
    <t xml:space="preserve">v2q-006-candidate-14</t>
  </si>
  <si>
    <t xml:space="preserve">v2q-020-candidate-01</t>
  </si>
  <si>
    <t xml:space="preserve">v2q-021-candidate-04</t>
  </si>
  <si>
    <t xml:space="preserve">v2q-001-candidate-04</t>
  </si>
  <si>
    <t xml:space="preserve">v2q-033-candidate-10</t>
  </si>
  <si>
    <t xml:space="preserve">pilot-v2-doc-pmegp-0004-80f46cce6893</t>
  </si>
  <si>
    <t xml:space="preserve">is eligible for obtaining financial assistance for setting up of projects under PMEGP. The 'family’ includes self and spouse. Negative List of Activities: The following list of activities will not be permitted under PMEGP for setting up of micro enterprises/ projects/units:- Any Industry/ Business connected with Meat(slaughtered), i.e., processing, canning and/or serving items made of it as food, production/Manufacturing or sale of intoxicant items like Beedi/Pan/ Cigar/Cigarette etc., any Hotel or Dhaba or sales outlet serving liquor, preparation/producing tobacco as raw materials, tapping of toddy for sale will not be allowed. Any Industry/Business connected with cultivation of crops/plantation like Tea, Coffee, Rubber etc. Sericulture (Cocoon rearing), Horticulture, Floriculture, Animal Husbandry will not be allowed.However, value addition under these will be allowed under PMEGP. Off Farm/Farm Linked activities in connection with sericulture, horticulture, floriculture etc. will also be allowed. Activities prohibited by Local Government/Authorities keeping in view environment or socio-economic factors will not be allowed .. Application For New Unit: 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 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 Step 1: Visit the official website of the PMEGP Portal. Step</t>
  </si>
  <si>
    <t xml:space="preserve">PMEGP eligibility and negative-list of activities — correct scheme but no subsidy mechanism described.</t>
  </si>
  <si>
    <t xml:space="preserve">v2q-029-candidate-17</t>
  </si>
  <si>
    <t xml:space="preserve">v2q-009-candidate-02</t>
  </si>
  <si>
    <t xml:space="preserve">v2q-011-candidate-16</t>
  </si>
  <si>
    <t xml:space="preserve">v2q-017-candidate-07</t>
  </si>
  <si>
    <t xml:space="preserve">pilot-v2-doc-pmkvy-sp-0001-43aac7629fa6</t>
  </si>
  <si>
    <t xml:space="preserve">by setting up skill development infrastructure in remote and difficult geographies such as hilly terrain, Left-Wing Extremism (LWE)-affected areas, and border areas, by designing special projects. The scheme improves inclusivity by ensuring that Scheduled Caste (SC), Scheduled Tribe (ST), women, and other marginalised communities can undertake skill training and access gainful wages and self-employment. The scheme provides an opportunity for lifelong skilling through upskilling and reskilling to address the dynamic needs of the ever-changing market. The scheme ensures quality training delivery through trained pedagogy, standardised assessments, and industry-relevant curriculum. The scheme facilitates enhanced employability through training in transferable skills and incentives for employment generation. The scheme provides candidate-centric training with emphasis on industry-relevant skills.. The scheme aims to address the skilling needs of marginalised groups and difficult geographies. Project-based short-term skill training is provided to such candidates.. The following benefits are provided to candidates under Special Projects: Base Training Cost: Provided as per the rationalised hourly base cost of ₹27.89 per hour.1. Free Short-Term Skill Training: On-the-Job Training (OJT) is provided in applicable job roles for practical, live-work exposure.1. Uniform, Induction Kit, and Participant Handbook: Maximum up to ₹500 per candidate. The induction kit consists of a T-shirt (Male) or Jacket (Female) and a bag.1. Assessment and Certification: ₹600 per assessment per candidate, funded under the scheme. Every candidate is offered one free-of-charge chance of re-assessment.1. Boarding, Lodging, and Transportation: Provided to special groups (Women and Persons with Disability) and Special Areas, and may also be extended for training in Aspirational, Border, Tribal-dominated, and LWE-affected districts. Special Projects may also be taken up with fully residential training.1. Conveyance / Transportation Cost: Permissible for Women and Persons with Disability (PwD) in case of non-residential training, as per Common Norms.1. Additional Support to Persons with Disability (PwD) Candidates: ₹5,000 towards assistive devices,</t>
  </si>
  <si>
    <t xml:space="preserve">v2q-032-candidate-04</t>
  </si>
  <si>
    <t xml:space="preserve">pilot-v2-doc-pm-kisan-guidelines-0009-4b2b66f9fbc9</t>
  </si>
  <si>
    <t xml:space="preserve">can use the beneficiary Aadhaar number and other
information provided in the declaration to verify the  eligibility of the beneficiary for
scheme as per extant scheme guidelines with the concerned agencies”.
6.3   The existing land-ownership system in the concerned State / UT will be used for
identification of beneficiaries. Accordingly,  it  is of utmost importance that the land
records are clear and updated. Further, State / UT Governments would also expedite
                                         6
the progress of digitization of the land records and linking the same with Aadhaar as
well as bank details of the beneficiaries.
6.4   The lists of eligible beneficiaries would be published at the village level. Farmers’
families who are eligible but have been excluded should be provided an opportunity to
represent their case.
7.    Review, Monitoring and Grievance Redressal Mechanism
7.1   There will be stratified review  / monitoring mechanism at National, State and
District Level. At the National level, the Review Committee will be headed by Cabinet
Secretary. The States shall notify the State and District Level Review  / Monitoring
Committee.
7.2   The States  shall also  notify State and  District Level Grievance Redressal
Monitoring Committees for looking into all the grievances related to implementation of
the scheme. Any grievances or complaints which are received should be disposed off
on merit preferably within two weeks time.
8.    Setting up of Project Monitoring Unit (PMU)
8.1  A Project Monitoring Unit (PMU) at Central level will be set up in the Department
of Agriculture, Cooperation &amp; Farmers Welfare (DAC&amp;FW) in the form of a Society
registered under the Societies Registration Act, 1860. This PMU shall be tasked with
the responsibility of overall monitoring of the scheme and shall be headed by Chief
Executive Officer (CEO). PMU shall also undertake publicity campaign (Information,
Education and Communication-IEC).
8.2   Each  State   / UT  Government</t>
  </si>
  <si>
    <t xml:space="preserve">v2q-001-candidate-13</t>
  </si>
  <si>
    <t xml:space="preserve">v2q-019-candidate-10</t>
  </si>
  <si>
    <t xml:space="preserve">pilot-v2-doc-pmuy-0000-ad06c0c09d46</t>
  </si>
  <si>
    <t xml:space="preserve">Pradhan Mantri Ujjwala Yojana. Ministry Of Petroleum and Natural Gas. 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A scheme by Ministry of Petroleum and Natural Gas for Providing free LPG connections to women belonging to the Below Poverty Line (BPL) households.. Rs. 1600 for a connection 14.2kg cylinder or Rs. 1150 for a 5 kg cylinder. Additionally, All PMUY beneficiaries will be provided with first LPG refill and Stove (hot plate) both free of cost along with their deposit free connection. Note: Priority would be given to the states which have lower LPG coverage (Compared to the national average) as on 1st Jan 2016.. An adult woman belonging to</t>
  </si>
  <si>
    <t xml:space="preserve">v2q-028-candidate-07</t>
  </si>
  <si>
    <t xml:space="preserve">pilot-v2-doc-pmkvy-stt-0003-3729a1c2e22c</t>
  </si>
  <si>
    <t xml:space="preserve">role to be offered. The applicant may be a candidate looking for fresh skilling, re-skilling, or upskilling. The applicant may be an out-of-education candidate, a school/college dropout, or an unemployed youth.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for training in the same sector, with the second time being for a higher NSQF-aligned job role only, and with a six-month gap between the certification date of the first course and the batch start date of the subsequent course.. Step 1: The applicant first registers on the Skill India Digital (SID) platform or the mobile application developed for the purpose; profile verification is completed through mobile-based OTP (eKYC), and a de-duplication check is carried out against the SID database to prevent re-enrolment in the same job role. Step 2: During registration, candidate profiling is done, with existing details fetched from other portals such as e-Shram and the National Career Services (NCS). Step 3: Online counselling is offered through SID to help the candidate select an appropriate course and Training Centre; the candidate may select the nearest Training Centre based on the availability of the preferred job role and the 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t>
  </si>
  <si>
    <t xml:space="preserve">STT chunk explicitly states 'fresh skilling, re-skilling, or upskilling' and 'school/college dropout, or unemployed youth' — verbatim match to reference answer's STT description; addresses STT component of v2q-028; reject audit Grade 0; keep 1.</t>
  </si>
  <si>
    <t xml:space="preserve">v2q-005-candidate-22</t>
  </si>
  <si>
    <t xml:space="preserve">v2q-007-candidate-24</t>
  </si>
  <si>
    <t xml:space="preserve">v2q-002-candidate-22</t>
  </si>
  <si>
    <t xml:space="preserve">v2q-029-candidate-14</t>
  </si>
  <si>
    <t xml:space="preserve">v2q-029-candidate-15</t>
  </si>
  <si>
    <t xml:space="preserve">v2q-002-candidate-20</t>
  </si>
  <si>
    <t xml:space="preserve">v2q-030-candidate-05</t>
  </si>
  <si>
    <t xml:space="preserve">pilot-v2-doc-pm-kmy-guidelines-0007-64fd9c6362ca</t>
  </si>
  <si>
    <t xml:space="preserve">is not already an SMF beneficiary of the Scheme. The rate
of  contribution and  vesting date  shall remain the same. Pension  accruals  will be
calculated as  if subscriber were to be alive on the vesting date. However, the same
pension would be payable to the spouse. Upon death of spouse after vesting date,
pension corpus would be transferred back to Pension Fund.
(xii)  In case of death of subscriber before vesting date, if the spouse does not exercise
option of continuing under the scheme, then subscribers’ contributions along with fund
                                               5
interest earned or Savings Bank Interest whichever is higher would be payable to the
spouse under the scheme.
(xiii) In case of death of subscriber before vesting date,  if there is no spouse, then
subscribers’ contributions along with fund interest earned or Savings Bank Interest,
whichever  is higher, would be payable to the nominee/s under the scheme. The co-
contributions made by Government along with fund interest earned after adjusting for
difference between Savings Bank Interest payable and fund interest earned, if any will be
credited back to Pension fund of Government.
(xiv)  If a subscriber dies after the date of vesting, his/her spouse shall be entitled to
receive  fifty per cent of the pension received by such  eligible subscriber as Family
Pension, provided she/he is not already an SMF beneficiary of the Scheme, and such
family pension shall be applicable only to the spouse.
(xv)  After death of subscriber as well as of his/her spouse, the corpus  i.e.  total
accumulated contributions made by the subscriber and the Government shall be credited
back to the fund.
(xvi)  The Eligible SMFs desirous of joining the scheme shall  visit nearest Common
Service Centre (CSC) along with his Aadhaar card and bank passbook or account details.
(xvii) The Village Level Entrepreneur (VLE)</t>
  </si>
  <si>
    <t xml:space="preserve">v2q-022-candidate-17</t>
  </si>
  <si>
    <t xml:space="preserve">v2q-011-candidate-18</t>
  </si>
  <si>
    <t xml:space="preserve">v2q-030-candidate-19</t>
  </si>
  <si>
    <t xml:space="preserve">v2q-021-candidate-14</t>
  </si>
  <si>
    <t xml:space="preserve">v2q-028-candidate-11</t>
  </si>
  <si>
    <t xml:space="preserve">v2q-006-candidate-22</t>
  </si>
  <si>
    <t xml:space="preserve">v2q-018-candidate-11</t>
  </si>
  <si>
    <t xml:space="preserve">v2q-029-candidate-03</t>
  </si>
  <si>
    <t xml:space="preserve">pilot-v2-doc-pmuy2-0001-065bd619e9c6</t>
  </si>
  <si>
    <t xml:space="preserve">from below-poverty-line.. Cash assistance for PMUY connections is provided by the Government of India - ₹1600 (for a connection 14.2kg cylinder/ ₹1150 for a 5 kg cylinder). The cash assistance covers: Security Deposit of Cylinder – ₹1250 for 14.2 kg cylinder/ ₹ 800 for 5 kg cylinder. Pressure Regulator – ₹150. LPG Hose – ₹100. Domestic Gas Consumer Card – ₹25. Inspection/ Installation/ Demonstration charges – ₹75. Additionally, All PMUY beneficiaries will be provided with first LPG refill and Stove (hotplate) both free of cost along with their deposit-free connection by the Oil Marketing Companies (OMCs).. The applicant must be at least 18 years old. The applicant’s household must not have any existing LPG connection. The applicant woman must belong to any one of the eligible categories. SC Households ST Households Pradhan Mantri Awas Yojana (Gramin) Most Backward Classes Antyodaya Anna Yojana (AAY) Tea and Ex-Tea Garden tribes Forest Dwellers People residing on Islands and River Islands SECC Households (AHL TIN) Poor Household as per 14-point declaration. Step 1: You can download Forms from the official website (given below) or get them from the nearest LPG distributor. [KYC Form](https://www.pmuy.gov.in/documents/Supplementary%20KYC.pdf) Supplementary KYC Document &amp; Undertaking- ANNEXURE - I Self-declaration for Family Composition and Address for release of new connection under PMUY (for Migrant only)- ANNEXURE - II Mechanics Pre-Installation check of Customers Premises for LPG connection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 Step 1: Apply online for Pradhan Mantri Ujjwala Yojana 2.0 from</t>
  </si>
  <si>
    <t xml:space="preserve">PMUY-2 cash-assistance amounts (₹1600/connection) — correct scheme, cost detail not migrant feature.</t>
  </si>
  <si>
    <t xml:space="preserve">v2q-013-candidate-07</t>
  </si>
  <si>
    <t xml:space="preserve">v2q-021-candidate-10</t>
  </si>
  <si>
    <t xml:space="preserve">v2q-001-candidate-07</t>
  </si>
  <si>
    <t xml:space="preserve">v2q-014-candidate-19</t>
  </si>
  <si>
    <t xml:space="preserve">v2q-019-candidate-21</t>
  </si>
  <si>
    <t xml:space="preserve">v2q-013-candidate-03</t>
  </si>
  <si>
    <t xml:space="preserve">v2q-003-candidate-07</t>
  </si>
  <si>
    <t xml:space="preserve">pilot-v2-doc-pm-kmy-guidelines-0016-4c964e587f94</t>
  </si>
  <si>
    <t xml:space="preserve">outstanding dues, along
         with interest of the rate as determined by the Government from time to time.
        (e) After  lapse  of  period  of  three  years from  the  date  of  last  unpaid
          contribution, SMS alerts / notices would be stopped. However, Subscriber may
       make inquiries about status of his account through dedicated call centre or
       make on-line web inquires. He/she  will, however, be allowed to regularize
         his/her contribution by paying the entire outstanding dues, along with interest
          of the rate as determined by the Government from time to time.
          (f)  If a beneficiary becomes  ineligible  for the Pension under PM-KMY, his
        account will be active but Government’s contribution (50%) shall be stopped.  If
          beneficiary agrees to pay the entire amount of the contribution, he  will be
         allowed to operate the account.  At the age of 60, he shall be allowed to
        withdraw his contribution with an interest equivalent to the prevailing saving
        bank rates.
10.  COMMUTATION OF PENSION:
      There is no provision for commutation of pension under any circumstances.
11.   LIABILITY ON ACCOUNT OF DEFICIT IN FUND
The issue of liability on account of deficit in the fund maintained by LIC may be decided
after due deliberations between Finance Ministry and LIC.
12.  LEGAL RIGHTS TO SUBSCRIBERS:
A subscriber or his / her beneficiary of this Scheme shall have no interest in the Master
Policy taken out in respect of the subscribers or any investment otherwise made by the
Ministry in accordance with the guidelines of the Scheme, but shall only be entitled to
receive a pension  in accordance with these  guidelines.   Provided always  that the
                                              11
Government shall administer the Scheme for the benefit of the subscribers and their
beneficiaries in accordance with the provisions of these guidelines.
13.  RESTRAINT ON ANTICIPATION ENCUMBRANCE:
The benefits assured under the Scheme are</t>
  </si>
  <si>
    <t xml:space="preserve">v2q-014-candidate-04</t>
  </si>
  <si>
    <t xml:space="preserve">v2q-029-candidate-11</t>
  </si>
  <si>
    <t xml:space="preserve">v2q-018-candidate-14</t>
  </si>
  <si>
    <t xml:space="preserve">v2q-025-candidate-03</t>
  </si>
  <si>
    <t xml:space="preserve">v2q-018-candidate-04</t>
  </si>
  <si>
    <t xml:space="preserve">v2q-009-candidate-19</t>
  </si>
  <si>
    <t xml:space="preserve">v2q-013-candidate-13</t>
  </si>
  <si>
    <t xml:space="preserve">v2q-015-candidate-13</t>
  </si>
  <si>
    <t xml:space="preserve">v2q-033-candidate-09</t>
  </si>
  <si>
    <t xml:space="preserve">v2q-023-candidate-12</t>
  </si>
  <si>
    <t xml:space="preserve">v2q-024-candidate-22</t>
  </si>
  <si>
    <t xml:space="preserve">v2q-006-candidate-11</t>
  </si>
  <si>
    <t xml:space="preserve">pilot-v2-doc-pm-kisan-guidelines-0003-8f87fe11bcaf</t>
  </si>
  <si>
    <t xml:space="preserve">during the financial year (2018-19) shall be
proportionate amount from date of transfer  till 31.03.2019 with respect to the 4 months
period.
5.3.1  In cases where the land records have not been updated for rights accruing due to
succession on account of the death of land owners before 01.12.2018, such updation of
land records may be done by the States in a time bound manner.  The successors
                                         3
whose names are entered in land records for rights accrued as aforementioned shall be
eligible subject to fulfilment of other conditions of the Scheme and the exclusion
clauses.
5.3.2 Clause 5.3  of the Operational Guidelines, which provides  for proportionate
amount of financial benefit under the scheme to be transferred in the bank accounts of
the beneficiaries  in cases involving transfer  of ownership between 01.12.2018  to
31.01.2019, shall remain applicable to the cases of succession as well which is clear
from the wording of the said clause.
5.3.3 Subsequent to 01.02.2019, there could be change in ownership due to the
following reasons:-
           i)     Transfer of ownership due to inheritance resulting out of death of the land
            owner. In such cases the family of the successors would be entitled to the
              benefits, if otherwise eligible as per scheme guidelines.
            ii)     In cases of cultivable land transferred to other persons through Sale Deed,
               Partition Deed, Gift Deed, etc., the transferee will not be eligible under the
          Scheme as he / she was not the land 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t>
  </si>
  <si>
    <t xml:space="preserve">v2q-017-candidate-12</t>
  </si>
  <si>
    <t xml:space="preserve">v2q-012-candidate-25</t>
  </si>
  <si>
    <t xml:space="preserve">v2q-034-candidate-13</t>
  </si>
  <si>
    <t xml:space="preserve">v2q-007-candidate-15</t>
  </si>
  <si>
    <t xml:space="preserve">v2q-001-candidate-16</t>
  </si>
  <si>
    <t xml:space="preserve">v2q-021-candidate-03</t>
  </si>
  <si>
    <t xml:space="preserve">v2q-005-candidate-08</t>
  </si>
  <si>
    <t xml:space="preserve">v2q-011-candidate-11</t>
  </si>
  <si>
    <t xml:space="preserve">v2q-009-candidate-10</t>
  </si>
  <si>
    <t xml:space="preserve">v2q-023-candidate-06</t>
  </si>
  <si>
    <t xml:space="preserve">v2q-024-candidate-12</t>
  </si>
  <si>
    <t xml:space="preserve">v2q-028-candidate-14</t>
  </si>
  <si>
    <t xml:space="preserve">v2q-022-candidate-22</t>
  </si>
  <si>
    <t xml:space="preserve">v2q-003-candidate-25</t>
  </si>
  <si>
    <t xml:space="preserve">v2q-025-candidate-17</t>
  </si>
  <si>
    <t xml:space="preserve">v2q-007-candidate-13</t>
  </si>
  <si>
    <t xml:space="preserve">v2q-018-candidate-17</t>
  </si>
  <si>
    <t xml:space="preserve">v2q-010-candidate-17</t>
  </si>
  <si>
    <t xml:space="preserve">v2q-013-candidate-04</t>
  </si>
  <si>
    <t xml:space="preserve">v2q-008-candidate-23</t>
  </si>
  <si>
    <t xml:space="preserve">pilot-v2-doc-pm-kisan-guidelines-0006-11a173d99b65</t>
  </si>
  <si>
    <t xml:space="preserve">by the
concerned North Eastern States.
5.5.1 For identification of bona fide beneficiary under PM-Kisan Scheme in Manipur, the
following proposal of Government of Manipur was considered and approved by the
Committee:
“The certificate issued by the Village authority, namely, the Chairman/Chief, authorizing
any tribal family to cultivate a piece of land, may be accepted. Such certification of
village Chairman/Chief shall be authenticated by the concerned sub-divisional officers.
All the exclusions under the Operational Guidelines will be applicable.”
5.5.2 For identification of bona fide beneficiary under PM-Kisan Scheme in Nagaland,
the following procedure was approved by the Committee:
   1) In case of community owned cultivable land in the state of Nagaland which is
      under permanent cultivation, for identification of beneficiaries under PM-KISAN,
      the certificate issued by the village council/authority/village chieftan  regarding
      land holding, duly verified by the administrative head of the circle/sub-division
     and countersigned by the Deputy Commissioner of the  District shall suffice
       subject to the exclusions under the operational guidelines.
   2) In case of cultivable land in the State of Nagaland which is categorised as Jhum
      land as per definition under Section–2(7) of the Nagaland Jhum Land Act, 1970
     and which is owned by the community/clan/village council/village chieftan, the
        identification of beneficiaries under PM-Kisan scheme, shall be on the basis of
        certification of land holding by the village council/chief/head of the village, duly
       verified by the administrative head of the circle/sub division and countersigned by
      the Deputy Commissioner  of  the  District. Provided  that  the name  of  the
       beneficiary is included in the state of Nagaland’s Agriculture Census of 2015-16.
      This proviso shall not be applicable in cases of succession and family partition.
                                         5
The  list  of such beneficiaries shall be subject to the exclusions under the
       operational guidelines.
5.6   For identification of bona fide beneficiary under PM-Kisan Scheme in</t>
  </si>
  <si>
    <t xml:space="preserve">v2q-027-candidate-08</t>
  </si>
  <si>
    <t xml:space="preserve">v2q-007-candidate-27</t>
  </si>
  <si>
    <t xml:space="preserve">v2q-009-candidate-13</t>
  </si>
  <si>
    <t xml:space="preserve">v2q-026-candidate-15</t>
  </si>
  <si>
    <t xml:space="preserve">v2q-020-candidate-22</t>
  </si>
  <si>
    <t xml:space="preserve">v2q-017-candidate-04</t>
  </si>
  <si>
    <t xml:space="preserve">v2q-015-candidate-10</t>
  </si>
  <si>
    <t xml:space="preserve">v2q-006-candidate-01</t>
  </si>
  <si>
    <t xml:space="preserve">v2q-011-candidate-01</t>
  </si>
  <si>
    <t xml:space="preserve">v2q-004-candidate-09</t>
  </si>
  <si>
    <t xml:space="preserve">v2q-029-candidate-20</t>
  </si>
  <si>
    <t xml:space="preserve">v2q-018-candidate-09</t>
  </si>
  <si>
    <t xml:space="preserve">v2q-003-candidate-22</t>
  </si>
  <si>
    <t xml:space="preserve">v2q-027-candidate-01</t>
  </si>
  <si>
    <t xml:space="preserve">v2q-006-candidate-18</t>
  </si>
  <si>
    <t xml:space="preserve">pilot-v2-doc-mgnrega-0003-008750b5fc90</t>
  </si>
  <si>
    <t xml:space="preserve">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Registrations shall be opened throughout the year at the Gram Panchayat (GP) office. Application for registration must be made on behalf of the household by any adult member.. One can download UMANG App or visit website https://web.umang.gov.in/webnew/home - The citizen can login using a mobile number and OTP. Once logged In, citizen can search for MGNREGA. Click on “Apply for Job Card” Fill in the basic details, choose the mode of payment of pension, upload photo and click on “Submit”.</t>
  </si>
  <si>
    <t xml:space="preserve">v2q-032-candidate-10</t>
  </si>
  <si>
    <t xml:space="preserve">v2q-011-candidate-04</t>
  </si>
  <si>
    <t xml:space="preserve">v2q-022-candidate-24</t>
  </si>
  <si>
    <t xml:space="preserve">v2q-006-candidate-23</t>
  </si>
  <si>
    <t xml:space="preserve">v2q-030-candidate-01</t>
  </si>
  <si>
    <t xml:space="preserve">pilot-v2-doc-pm-kmy-guidelines-0018-67494b680dda</t>
  </si>
  <si>
    <t xml:space="preserve">the
LIC, they shall recommend to the DAC&amp;FW to take appropriate steps.
15.  JURISDICTION:
The Master Policy to be effected under the Scheme shall be an Indian contract, subject
to the laws of Indian including the Indian Insurance Act, 1938, as amended, the Life
Insurance Corporation Act, 1956, the Income Tax, Act, 1961 and to any legislation
subsequently introduced. All benefits under the Scheme shall be payable only in India.
Should anything contained in these guidelines, or in any amendment made thereof be
repugnant to any provisions of the Income Tax Act, 1961 or the Income Tax Rules, 1962,
it shall be ineffective to the extent of such repugnance, any such repugnance in so far as
it relates to Income Tax Act 1961 and the Rules there under shall be removed by the
DAC&amp;FW.
                                              12
16.  DEDUCTION OF SUMS DUE TO INCOME TAX AUTHORITIES:
Income Tax: In any case where the DAC&amp;FW or the Corporation is liable to account to
the Income Tax Authorities for Income Tax on any payments due under the Scheme, the
Corporation shall deduct a sum equal to the tax from such payment and shall not be
liable to the subscribers for the sum so deducted.
17.  NOMINATION:
(a)    Every  Subscriber  shall  appoint  spouse  or  dependants  as  Beneficiary  or
Beneficiaries under the Scheme to receive the benefits hereunder in the event of the
death of the subscriber.
(b)   Every appointment / nomination to be made under 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t>
  </si>
  <si>
    <t xml:space="preserve">v2q-010-candidate-12</t>
  </si>
  <si>
    <t xml:space="preserve">v2q-008-candidate-19</t>
  </si>
  <si>
    <t xml:space="preserve">v2q-033-candidate-04</t>
  </si>
  <si>
    <t xml:space="preserve">v2q-024-candidate-06</t>
  </si>
  <si>
    <t xml:space="preserve">v2q-031-candidate-10</t>
  </si>
  <si>
    <t xml:space="preserve">v2q-012-candidate-17</t>
  </si>
  <si>
    <t xml:space="preserve">pilot-v2-doc-pm-svanidhi-0002-280acc14217b</t>
  </si>
  <si>
    <t xml:space="preserve">The vendors of surrounding development/ peri-urban/rural areas vending in the geographical limits of the ULBs, who have been issued a Letter of Recommendation (LoR) to that effect by the ULB / TVC..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</si>
  <si>
    <t xml:space="preserve">v2q-006-candidate-13</t>
  </si>
  <si>
    <t xml:space="preserve">v2q-017-candidate-01</t>
  </si>
  <si>
    <t xml:space="preserve">v2q-012-candidate-09</t>
  </si>
  <si>
    <t xml:space="preserve">v2q-016-candidate-12</t>
  </si>
  <si>
    <t xml:space="preserve">v2q-030-candidate-22</t>
  </si>
  <si>
    <t xml:space="preserve">v2q-008-candidate-08</t>
  </si>
  <si>
    <t xml:space="preserve">v2q-006-candidate-12</t>
  </si>
  <si>
    <t xml:space="preserve">v2q-002-candidate-15</t>
  </si>
  <si>
    <t xml:space="preserve">v2q-005-candidate-17</t>
  </si>
  <si>
    <t xml:space="preserve">v2q-031-candidate-21</t>
  </si>
  <si>
    <t xml:space="preserve">v2q-005-candidate-20</t>
  </si>
  <si>
    <t xml:space="preserve">v2q-024-candidate-14</t>
  </si>
  <si>
    <t xml:space="preserve">v2q-012-candidate-15</t>
  </si>
  <si>
    <t xml:space="preserve">v2q-034-candidate-09</t>
  </si>
  <si>
    <t xml:space="preserve">v2q-009-candidate-25</t>
  </si>
  <si>
    <t xml:space="preserve">v2q-010-candidate-11</t>
  </si>
  <si>
    <t xml:space="preserve">v2q-004-candidate-24</t>
  </si>
  <si>
    <t xml:space="preserve">v2q-033-candidate-06</t>
  </si>
  <si>
    <t xml:space="preserve">PMEGP project-cost limits and bank balance — correct scheme but subsidy structure not explicit.</t>
  </si>
  <si>
    <t xml:space="preserve">v2q-030-candidate-15</t>
  </si>
  <si>
    <t xml:space="preserve">v2q-019-candidate-09</t>
  </si>
  <si>
    <t xml:space="preserve">v2q-007-candidate-12</t>
  </si>
  <si>
    <t xml:space="preserve">v2q-001-candidate-08</t>
  </si>
  <si>
    <t xml:space="preserve">v2q-007-candidate-25</t>
  </si>
  <si>
    <t xml:space="preserve">v2q-034-candidate-18</t>
  </si>
  <si>
    <t xml:space="preserve">v2q-002-candidate-02</t>
  </si>
  <si>
    <t xml:space="preserve">v2q-011-candidate-08</t>
  </si>
  <si>
    <t xml:space="preserve">v2q-030-candidate-18</t>
  </si>
  <si>
    <t xml:space="preserve">v2q-007-candidate-04</t>
  </si>
  <si>
    <t xml:space="preserve">v2q-008-candidate-22</t>
  </si>
  <si>
    <t xml:space="preserve">v2q-001-candidate-03</t>
  </si>
  <si>
    <t xml:space="preserve">v2q-023-candidate-13</t>
  </si>
  <si>
    <t xml:space="preserve">v2q-002-candidate-12</t>
  </si>
  <si>
    <t xml:space="preserve">pilot-v2-doc-pmfby-0004-25f813969307</t>
  </si>
  <si>
    <t xml:space="preserve">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‘Application Status’ option on the home page..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 You can track the application status on the PMFBY website through the ‘Application Status’ option on the home page.. Step 1: Visit your nearest Common Service Centre (CSC). CSCs are government-authorized centres</t>
  </si>
  <si>
    <t xml:space="preserve">v2q-013-candidate-01</t>
  </si>
  <si>
    <t xml:space="preserve">PMAY-G SC/ST coverage and 15% fund earmark for minorities (SECC 2011 Wait List) — wrong scheme for v2q-013 PMUY/LPG question; downgrade to 0.</t>
  </si>
  <si>
    <t xml:space="preserve">v2q-024-candidate-07</t>
  </si>
  <si>
    <t xml:space="preserve">v2q-032-candidate-07</t>
  </si>
  <si>
    <t xml:space="preserve">PM-KISAN title page only — correct scheme, no content about ₹6,000 annual transfer.</t>
  </si>
  <si>
    <t xml:space="preserve">v2q-003-candidate-12</t>
  </si>
  <si>
    <t xml:space="preserve">v2q-014-candidate-03</t>
  </si>
  <si>
    <t xml:space="preserve">v2q-005-candidate-14</t>
  </si>
  <si>
    <t xml:space="preserve">v2q-020-candidate-23</t>
  </si>
  <si>
    <t xml:space="preserve">v2q-026-candidate-11</t>
  </si>
  <si>
    <t xml:space="preserve">v2q-034-candidate-14</t>
  </si>
  <si>
    <t xml:space="preserve">v2q-008-candidate-11</t>
  </si>
  <si>
    <t xml:space="preserve">v2q-001-candidate-20</t>
  </si>
  <si>
    <t xml:space="preserve">v2q-019-candidate-08</t>
  </si>
  <si>
    <t xml:space="preserve">v2q-016-candidate-07</t>
  </si>
  <si>
    <t xml:space="preserve">v2q-019-candidate-06</t>
  </si>
  <si>
    <t xml:space="preserve">pilot-v2-doc-pmkvy-rpl-0002-a3163111d20f</t>
  </si>
  <si>
    <t xml:space="preserve">base cost: a fixed cost of ₹2,000 per candidate applies for RPL at an Accredited and Affiliated Training Centre and ₹1,700 for RPL at Industry premises for 12 hours of training; the reduction of ₹300 at Industry premises is owing to availability of infrastructure and lower mobilisation cost. Additional hours beyond 12 are paid at the discounted Common Norm of ₹27.89 per hour.) Mode of disbursement: Funds are transferred directly to the RPL-PIA's bank account through Direct Benefit Transfer (DBT). Frequency / time of disbursement: Payment is made in two tranches: Tranche 1 — 80% on assessment results being uploaded by the assessing body; Tranche 2 — 20% on submission/uploading of the Monthly Performance Report (MPR) and proof of certificate handover (with or without the distribution ceremony).. The applicant should be an Indian national. The applicant should possess a valid Aadhaar. The applicant should be in the age group of 18 to 59 years. The applicant should be a candidate with prior learning experience or skills, willing to get assessed and certified. The applicant should have prior experience in the job role for which RPL certification is being sought, as specified in the job role. The applicant should fulfil the eligibility criteria of the respective job role. The applicant should not be enrolled again in the same job role in which he/she was already trained earlier. The applicant, if already certified once under PMKVY, opting for a lower NSQF-level course in the same sector, shall be discouraged; however, a higher job role in the same sector is permitted. The applicant may enrol not more than twice in the same sector, with a six-month gap between the certification date of the first course and the batch start date of the subsequent course.. The interested candidate can contact the nearest Training Center</t>
  </si>
  <si>
    <t xml:space="preserve">v2q-012-candidate-21</t>
  </si>
  <si>
    <t xml:space="preserve">v2q-028-candidate-04</t>
  </si>
  <si>
    <t xml:space="preserve">STT certificate-grade bands (Grade A/B/C by NSQF level) and post-certification tracking allowance (₹50/candidate) — STT is the correct pathway but chunk does not state its fresh-skilling/reskilling/upskilling purpose; keep 1.</t>
  </si>
  <si>
    <t xml:space="preserve">v2q-031-candidate-12</t>
  </si>
  <si>
    <t xml:space="preserve">v2q-011-candidate-15</t>
  </si>
  <si>
    <t xml:space="preserve">v2q-034-candidate-20</t>
  </si>
  <si>
    <t xml:space="preserve">PMGKAY AAY eligibility criteria (tribal, landless laborer) — correct scheme but not free-foodgrain provision.</t>
  </si>
  <si>
    <t xml:space="preserve">v2q-009-candidate-01</t>
  </si>
  <si>
    <t xml:space="preserve">v2q-023-candidate-22</t>
  </si>
  <si>
    <t xml:space="preserve">v2q-004-candidate-13</t>
  </si>
  <si>
    <t xml:space="preserve">v2q-022-candidate-12</t>
  </si>
  <si>
    <t xml:space="preserve">v2q-021-candidate-11</t>
  </si>
  <si>
    <t xml:space="preserve">v2q-018-candidate-12</t>
  </si>
  <si>
    <t xml:space="preserve">v2q-032-candidate-12</t>
  </si>
  <si>
    <t xml:space="preserve">v2q-022-candidate-06</t>
  </si>
  <si>
    <t xml:space="preserve">v2q-009-candidate-22</t>
  </si>
  <si>
    <t xml:space="preserve">v2q-006-candidate-05</t>
  </si>
  <si>
    <t xml:space="preserve">v2q-024-candidate-02</t>
  </si>
  <si>
    <t xml:space="preserve">v2q-027-candidate-12</t>
  </si>
  <si>
    <t xml:space="preserve">v2q-017-candidate-16</t>
  </si>
  <si>
    <t xml:space="preserve">pilot-v2-doc-pmkvy-rpl-0004-3a140d40bcee</t>
  </si>
  <si>
    <t xml:space="preserve">either General Orientation (with modules for Employability Skills, Career Progression, Opportunities for formal education, etc.) or Orientation with NOS (with modules for NOS, Employability Skills, Career Progression, etc.). The maximum duration of RPL is 132 hours. Stage 4: The applicant undergoes assessment (Theory and Practical), conducted by the Awarding Bodies, equivalent to STT assessment, with AEBAS-based compulsory attendance. Stage 5: On passing with at least 70% marks, the applicant is awarded a graded (A/B) Skill Certificate and Marksheet, issued via DigiLocker, an email/phone download link, and the SID profile page.</t>
  </si>
  <si>
    <t xml:space="preserve">v2q-033-candidate-16</t>
  </si>
  <si>
    <t xml:space="preserve">v2q-008-candidate-07</t>
  </si>
  <si>
    <t xml:space="preserve">v2q-022-candidate-01</t>
  </si>
  <si>
    <t xml:space="preserve">v2q-032-candidate-01</t>
  </si>
  <si>
    <t xml:space="preserve">v2q-012-candidate-06</t>
  </si>
  <si>
    <t xml:space="preserve">v2q-004-candidate-12</t>
  </si>
  <si>
    <t xml:space="preserve">v2q-006-candidate-03</t>
  </si>
  <si>
    <t xml:space="preserve">v2q-032-candidate-06</t>
  </si>
  <si>
    <t xml:space="preserve">v2q-018-candidate-07</t>
  </si>
  <si>
    <t xml:space="preserve">v2q-020-candidate-05</t>
  </si>
  <si>
    <t xml:space="preserve">v2q-027-candidate-03</t>
  </si>
  <si>
    <t xml:space="preserve">v2q-028-candidate-02</t>
  </si>
  <si>
    <t xml:space="preserve">v2q-020-candidate-14</t>
  </si>
  <si>
    <t xml:space="preserve">v2q-023-candidate-15</t>
  </si>
  <si>
    <t xml:space="preserve">v2q-004-candidate-14</t>
  </si>
  <si>
    <t xml:space="preserve">v2q-001-candidate-01</t>
  </si>
  <si>
    <t xml:space="preserve">v2q-004-candidate-18</t>
  </si>
  <si>
    <t xml:space="preserve">v2q-011-candidate-02</t>
  </si>
  <si>
    <t xml:space="preserve">v2q-022-candidate-23</t>
  </si>
  <si>
    <t xml:space="preserve">v2q-028-candidate-13</t>
  </si>
  <si>
    <t xml:space="preserve">v2q-004-candidate-23</t>
  </si>
  <si>
    <t xml:space="preserve">v2q-009-candidate-12</t>
  </si>
  <si>
    <t xml:space="preserve">v2q-029-candidate-06</t>
  </si>
  <si>
    <t xml:space="preserve">v2q-024-candidate-01</t>
  </si>
  <si>
    <t xml:space="preserve">v2q-002-candidate-05</t>
  </si>
  <si>
    <t xml:space="preserve">v2q-013-candidate-12</t>
  </si>
  <si>
    <t xml:space="preserve">PMAY-G title/introduction (launch date 1 April 2016, MoRD) — wrong scheme for v2q-013 PMUY/LPG question; downgrade to 0.</t>
  </si>
  <si>
    <t xml:space="preserve">v2q-023-candidate-23</t>
  </si>
  <si>
    <t xml:space="preserve">v2q-019-candidate-04</t>
  </si>
  <si>
    <t xml:space="preserve">v2q-012-candidate-22</t>
  </si>
  <si>
    <t xml:space="preserve">v2q-028-candidate-15</t>
  </si>
  <si>
    <t xml:space="preserve">v2q-016-candidate-14</t>
  </si>
  <si>
    <t xml:space="preserve">v2q-012-candidate-03</t>
  </si>
  <si>
    <t xml:space="preserve">v2q-012-candidate-16</t>
  </si>
  <si>
    <t xml:space="preserve">v2q-027-candidate-10</t>
  </si>
  <si>
    <t xml:space="preserve">v2q-003-candidate-21</t>
  </si>
  <si>
    <t xml:space="preserve">v2q-027-candidate-17</t>
  </si>
  <si>
    <t xml:space="preserve">v2q-009-candidate-18</t>
  </si>
  <si>
    <t xml:space="preserve">v2q-025-candidate-21</t>
  </si>
  <si>
    <t xml:space="preserve">v2q-030-candidate-04</t>
  </si>
  <si>
    <t xml:space="preserve">v2q-019-candidate-20</t>
  </si>
  <si>
    <t xml:space="preserve">v2q-007-candidate-06</t>
  </si>
  <si>
    <t xml:space="preserve">v2q-010-candidate-10</t>
  </si>
  <si>
    <t xml:space="preserve">v2q-017-candidate-08</t>
  </si>
  <si>
    <t xml:space="preserve">STT chunk explicitly names school/college dropouts and unemployed youth as target group for fresh skilling — directly supports reference answer.</t>
  </si>
  <si>
    <t xml:space="preserve">v2q-013-candidate-09</t>
  </si>
  <si>
    <t xml:space="preserve">v2q-025-candidate-07</t>
  </si>
  <si>
    <t xml:space="preserve">v2q-016-candidate-16</t>
  </si>
  <si>
    <t xml:space="preserve">v2q-008-candidate-09</t>
  </si>
  <si>
    <t xml:space="preserve">v2q-021-candidate-18</t>
  </si>
  <si>
    <t xml:space="preserve">v2q-025-candidate-10</t>
  </si>
  <si>
    <t xml:space="preserve">v2q-025-candidate-13</t>
  </si>
  <si>
    <t xml:space="preserve">v2q-004-candidate-05</t>
  </si>
  <si>
    <t xml:space="preserve">v2q-030-candidate-11</t>
  </si>
  <si>
    <t xml:space="preserve">v2q-022-candidate-08</t>
  </si>
  <si>
    <t xml:space="preserve">v2q-015-candidate-20</t>
  </si>
  <si>
    <t xml:space="preserve">v2q-002-candidate-03</t>
  </si>
  <si>
    <t xml:space="preserve">pilot-v2-doc-pmfby-0002-5c46025b568d</t>
  </si>
  <si>
    <t xml:space="preserve">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 Non-Notified Areas PMFBY applies to notified areas, and crop losses in non-notified areas are generally not covered. Farmers in areas not designated under the scheme may not receive compensation. Losses Outside the Crop Cycle Crop losses occurring outside the specified crop cycle are often excluded from coverage. If a loss is not directly related to the growing season, it may not be eligible for compensation. Negligence and Non-Compliance Losses resulting from farmer negligence, non-compliance with recommended agricultural practices, or failure to protect the crop adequately may be excluded. Losses Beyond Specified Limits Some losses beyond specified limits or thresholds may not be covered. The scheme may have predefined criteria for determining the extent of loss that qualifies for compensation. Non-Premium Payment Farmers who fail to pay their premium contributions as required may not be eligible for coverage.</t>
  </si>
  <si>
    <t xml:space="preserve">v2q-006-candidate-19</t>
  </si>
  <si>
    <t xml:space="preserve">v2q-025-candidate-19</t>
  </si>
  <si>
    <t xml:space="preserve">v2q-032-candidate-05</t>
  </si>
  <si>
    <t xml:space="preserve">v2q-028-candidate-03</t>
  </si>
  <si>
    <t xml:space="preserve">pilot-v2-doc-pmkvy-stt-0004-0258e7b813c4</t>
  </si>
  <si>
    <t xml:space="preserve">quality of training infrastructure (rating, centre profile). Step 4: On enrolment, the candidate is informed of the training programme details and facilities on the profile page and through a downloadable link sent to the registered number (or at the centre). Step 5: The applicant then completes the training lifecycle — classroom/blended/online training as per the approved Qualification Pack, applicable On-the-Job Training (OJT), and assessment by the NCVET-approved Awarding Bodies and Assessment Agencies. Step 6: On passing the assessment, the QR-code-based digital certificate is issued through DigiLocker, an email/phone download link, and the SID profile page, and a free printed certificate is provided by the Training Provider.</t>
  </si>
  <si>
    <t xml:space="preserve">STT training lifecycle steps (centre enrolment, profile page, training completion) — operational procedure does not state STT's skilling purpose or RPL's certification function; downgrade to 0.</t>
  </si>
  <si>
    <t xml:space="preserve">v2q-032-candidate-11</t>
  </si>
  <si>
    <t xml:space="preserve">PM-KMY subscriber definition and SMF eligibility — correct scheme but ₹3,000 pension amount absent.</t>
  </si>
  <si>
    <t xml:space="preserve">v2q-033-candidate-13</t>
  </si>
  <si>
    <t xml:space="preserve">v2q-006-candidate-28</t>
  </si>
  <si>
    <t xml:space="preserve">v2q-030-candidate-08</t>
  </si>
  <si>
    <t xml:space="preserve">v2q-012-candidate-14</t>
  </si>
  <si>
    <t xml:space="preserve">v2q-015-candidate-09</t>
  </si>
  <si>
    <t xml:space="preserve">v2q-023-candidate-01</t>
  </si>
  <si>
    <t xml:space="preserve">v2q-007-candidate-14</t>
  </si>
  <si>
    <t xml:space="preserve">v2q-009-candidate-03</t>
  </si>
  <si>
    <t xml:space="preserve">v2q-018-candidate-19</t>
  </si>
  <si>
    <t xml:space="preserve">v2q-008-candidate-17</t>
  </si>
  <si>
    <t xml:space="preserve">v2q-008-candidate-20</t>
  </si>
  <si>
    <t xml:space="preserve">v2q-031-candidate-11</t>
  </si>
  <si>
    <t xml:space="preserve">v2q-029-candidate-12</t>
  </si>
  <si>
    <t xml:space="preserve">v2q-027-candidate-15</t>
  </si>
  <si>
    <t xml:space="preserve">v2q-030-candidate-16</t>
  </si>
  <si>
    <t xml:space="preserve">v2q-032-candidate-15</t>
  </si>
  <si>
    <t xml:space="preserve">v2q-018-candidate-18</t>
  </si>
  <si>
    <t xml:space="preserve">v2q-034-candidate-03</t>
  </si>
  <si>
    <t xml:space="preserve">v2q-005-candidate-10</t>
  </si>
  <si>
    <t xml:space="preserve">v2q-011-candidate-12</t>
  </si>
  <si>
    <t xml:space="preserve">v2q-020-candidate-21</t>
  </si>
  <si>
    <t xml:space="preserve">v2q-023-candidate-14</t>
  </si>
  <si>
    <t xml:space="preserve">v2q-031-candidate-07</t>
  </si>
  <si>
    <t xml:space="preserve">v2q-022-candidate-28</t>
  </si>
  <si>
    <t xml:space="preserve">v2q-001-candidate-05</t>
  </si>
  <si>
    <t xml:space="preserve">v2q-005-candidate-07</t>
  </si>
  <si>
    <t xml:space="preserve">v2q-006-candidate-25</t>
  </si>
  <si>
    <t xml:space="preserve">v2q-022-candidate-07</t>
  </si>
  <si>
    <t xml:space="preserve">v2q-029-candidate-10</t>
  </si>
  <si>
    <t xml:space="preserve">v2q-032-candidate-08</t>
  </si>
  <si>
    <t xml:space="preserve">v2q-014-candidate-22</t>
  </si>
  <si>
    <t xml:space="preserve">v2q-003-candidate-05</t>
  </si>
  <si>
    <t xml:space="preserve">v2q-026-candidate-02</t>
  </si>
  <si>
    <t xml:space="preserve">v2q-016-candidate-08</t>
  </si>
  <si>
    <t xml:space="preserve">v2q-012-candidate-11</t>
  </si>
  <si>
    <t xml:space="preserve">v2q-034-candidate-11</t>
  </si>
  <si>
    <t xml:space="preserve">v2q-002-candidate-13</t>
  </si>
  <si>
    <t xml:space="preserve">v2q-020-candidate-09</t>
  </si>
  <si>
    <t xml:space="preserve">v2q-010-candidate-03</t>
  </si>
  <si>
    <t xml:space="preserve">v2q-004-candidate-02</t>
  </si>
  <si>
    <t xml:space="preserve">v2q-023-candidate-03</t>
  </si>
  <si>
    <t xml:space="preserve">v2q-008-candidate-24</t>
  </si>
  <si>
    <t xml:space="preserve">v2q-008-candidate-12</t>
  </si>
  <si>
    <t xml:space="preserve">v2q-008-candidate-03</t>
  </si>
  <si>
    <t xml:space="preserve">v2q-012-candidate-10</t>
  </si>
  <si>
    <t xml:space="preserve">v2q-019-candidate-01</t>
  </si>
  <si>
    <t xml:space="preserve">v2q-031-candidate-03</t>
  </si>
  <si>
    <t xml:space="preserve">v2q-034-candidate-19</t>
  </si>
  <si>
    <t xml:space="preserve">v2q-016-candidate-10</t>
  </si>
  <si>
    <t xml:space="preserve">RPL enrollment frequency limits — correct scheme, operational restriction not assess/upskill/certify function.</t>
  </si>
  <si>
    <t xml:space="preserve">v2q-021-candidate-08</t>
  </si>
  <si>
    <t xml:space="preserve">v2q-033-candidate-02</t>
  </si>
  <si>
    <t xml:space="preserve">PMEGP eligibility/education criteria and new-project restriction — correct scheme, partial context only.</t>
  </si>
  <si>
    <t xml:space="preserve">v2q-001-candidate-15</t>
  </si>
  <si>
    <t xml:space="preserve">v2q-027-candidate-09</t>
  </si>
  <si>
    <t xml:space="preserve">v2q-015-candidate-01</t>
  </si>
  <si>
    <t xml:space="preserve">v2q-012-candidate-19</t>
  </si>
  <si>
    <t xml:space="preserve">v2q-034-candidate-06</t>
  </si>
  <si>
    <t xml:space="preserve">v2q-005-candidate-18</t>
  </si>
  <si>
    <t xml:space="preserve">v2q-001-candidate-22</t>
  </si>
  <si>
    <t xml:space="preserve">v2q-012-candidate-05</t>
  </si>
  <si>
    <t xml:space="preserve">v2q-004-candidate-03</t>
  </si>
  <si>
    <t xml:space="preserve">pilot-v2-doc-pmmy-0001-6035d0d102e8</t>
  </si>
  <si>
    <t xml:space="preserve">upfront fee as per their internal guidelines. The upfront fee/processing charges for Shishu loans (Covering loans upto Rs. 50,000/-) are waived by most Banks. Note : There are no agents or middleman engaged by MUDRA for availing of Mudra Loans. The borrowers are advised to keep away from persons posing as Agents/ facilitators of MUDRA/PMMY..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Shishu: Covering loans upto Rs.50,000/-. Kishore: Covering loans above Rs.50,000/- and upto Rs. 5 lakhs. Tarun: Covering loans above Rs. 5 lakhs and upto Rs. 10 lakhs. Tarun Plus : Loans up to Rs. 20 lakh for enterpreneurs who have successfully repaid previous loans under the 'Tarun' category.. Eligible borrowers Individuals Proprietary concern. Partnership Firm. Private Ltd. Company. Public Company.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The following are the pre-requisites for the enrolment process: ID Proof Address Proof Passport size photograph Applicant Signature Proof of Identity / Address of Business Enterprises Step 01: Go to PM MUDRA official website and after that select the Udyamimitra portal</t>
  </si>
  <si>
    <t xml:space="preserve">v2q-020-candidate-08</t>
  </si>
  <si>
    <t xml:space="preserve">v2q-020-candidate-13</t>
  </si>
  <si>
    <t xml:space="preserve">v2q-007-candidate-22</t>
  </si>
  <si>
    <t xml:space="preserve">v2q-027-candidate-02</t>
  </si>
  <si>
    <t xml:space="preserve">v2q-004-candidate-11</t>
  </si>
  <si>
    <t xml:space="preserve">v2q-018-candidate-13</t>
  </si>
  <si>
    <t xml:space="preserve">v2q-014-candidate-06</t>
  </si>
  <si>
    <t xml:space="preserve">v2q-022-candidate-03</t>
  </si>
  <si>
    <t xml:space="preserve">v2q-028-candidate-12</t>
  </si>
  <si>
    <t xml:space="preserve">v2q-029-candidate-02</t>
  </si>
  <si>
    <t xml:space="preserve">v2q-022-candidate-26</t>
  </si>
  <si>
    <t xml:space="preserve">v2q-026-candidate-10</t>
  </si>
  <si>
    <t xml:space="preserve">v2q-004-candidate-07</t>
  </si>
  <si>
    <t xml:space="preserve">v2q-014-candidate-17</t>
  </si>
  <si>
    <t xml:space="preserve">v2q-003-candidate-08</t>
  </si>
  <si>
    <t xml:space="preserve">v2q-012-candidate-02</t>
  </si>
  <si>
    <t xml:space="preserve">v2q-009-candidate-08</t>
  </si>
  <si>
    <t xml:space="preserve">v2q-019-candidate-13</t>
  </si>
  <si>
    <t xml:space="preserve">v2q-011-candidate-14</t>
  </si>
  <si>
    <t xml:space="preserve">v2q-017-candidate-15</t>
  </si>
  <si>
    <t xml:space="preserve">v2q-024-candidate-20</t>
  </si>
  <si>
    <t xml:space="preserve">v2q-026-candidate-13</t>
  </si>
  <si>
    <t xml:space="preserve">v2q-001-candidate-21</t>
  </si>
  <si>
    <t xml:space="preserve">v2q-014-candidate-07</t>
  </si>
  <si>
    <t xml:space="preserve">v2q-012-candidate-20</t>
  </si>
  <si>
    <t xml:space="preserve">v2q-005-candidate-23</t>
  </si>
  <si>
    <t xml:space="preserve">v2q-022-candidate-29</t>
  </si>
  <si>
    <t xml:space="preserve">v2q-034-candidate-15</t>
  </si>
  <si>
    <t xml:space="preserve">v2q-001-candidate-17</t>
  </si>
  <si>
    <t xml:space="preserve">v2q-013-candidate-19</t>
  </si>
  <si>
    <t xml:space="preserve">v2q-013-candidate-02</t>
  </si>
  <si>
    <t xml:space="preserve">v2q-022-candidate-13</t>
  </si>
  <si>
    <t xml:space="preserve">v2q-002-candidate-17</t>
  </si>
  <si>
    <t xml:space="preserve">v2q-027-candidate-05</t>
  </si>
  <si>
    <t xml:space="preserve">v2q-006-candidate-20</t>
  </si>
  <si>
    <t xml:space="preserve">v2q-002-candidate-06</t>
  </si>
  <si>
    <t xml:space="preserve">v2q-026-candidate-16</t>
  </si>
  <si>
    <t xml:space="preserve">v2q-012-candidate-07</t>
  </si>
  <si>
    <t xml:space="preserve">v2q-024-candidate-11</t>
  </si>
  <si>
    <t xml:space="preserve">v2q-011-candidate-05</t>
  </si>
  <si>
    <t xml:space="preserve">pilot-v2-doc-pm-kisan-guidelines-0004-b4ff0a728aa0</t>
  </si>
  <si>
    <t xml:space="preserve">owner as on 01.02.2019. However,
               in such cases even the transferor of the land will become ineligible if the
              family of the transferor does not have any cultivable land subsequent to
           such a transfer.
5.3.4 The State Governments have to put in place the administrative mechanism
based on their existing land revenue administrative regime to take care of formulations.
There should be  clear cut  responsibility entrusted  to the  officials responsible  for
undertaking mutation of land records.
           i)      In case of correction of land record for recording land ownership accrued
           due to inheritance before 01.12.2018 then the eligibility of the family under
             the scheme shall be properly determined as per the conditions of the
           scheme. The procedure for determining the eligibility as per the exclusion
            clauses shall remain as prescribed.
            ii)     In case of transfer of land ownership due to inheritance, reassessing the
                 eligibility of the family under PM-KISAN -  If the family is no longer eligible,
            then the same have to be updated in the PM-KISAN portal so that the
              benefits can be discontinued subsequently.   In case of family of the
           deceased land owner is still eligible (where spouse or the minor children
            are having cultivable land and eligible as per guidelines), the details of the
          new beneficiary alongwith other details with the fresh self-declarations
           have  to be  provided  to  the  concerned  authorities  for  inclusion   /
             modifications so  that the  benefit  to the  survivors  of the  family can
             continue.
            iii)    Subsequent to inheritance  if the families of the inheritors also become
              freshly eligible under PM-Kisan then all the details of the freshly eligible
              families have to be incorporated in the database so that benefits start
             accruing  to such  families from  the  date when  inheritance became
              operational.
                                         4
iv)     In case of transfer of cultivable land for reasons other than death</t>
  </si>
  <si>
    <t xml:space="preserve">v2q-022-candidate-04</t>
  </si>
  <si>
    <t xml:space="preserve">v2q-008-candidate-21</t>
  </si>
  <si>
    <t xml:space="preserve">v2q-006-candidate-04</t>
  </si>
  <si>
    <t xml:space="preserve">v2q-026-candidate-04</t>
  </si>
  <si>
    <t xml:space="preserve">v2q-023-candidate-10</t>
  </si>
  <si>
    <t xml:space="preserve">v2q-007-candidate-07</t>
  </si>
  <si>
    <t xml:space="preserve">v2q-004-candidate-08</t>
  </si>
  <si>
    <t xml:space="preserve">v2q-007-candidate-16</t>
  </si>
  <si>
    <t xml:space="preserve">v2q-003-candidate-13</t>
  </si>
  <si>
    <t xml:space="preserve">v2q-028-candidate-10</t>
  </si>
  <si>
    <t xml:space="preserve">v2q-007-candidate-18</t>
  </si>
  <si>
    <t xml:space="preserve">v2q-014-candidate-11</t>
  </si>
  <si>
    <t xml:space="preserve">v2q-018-candidate-01</t>
  </si>
  <si>
    <t xml:space="preserve">v2q-032-candidate-03</t>
  </si>
  <si>
    <t xml:space="preserve">PMFBY exclusions and loss-limit criteria — correct scheme, describes boundaries not the main insurance fact.</t>
  </si>
  <si>
    <t xml:space="preserve">v2q-020-candidate-03</t>
  </si>
  <si>
    <t xml:space="preserve">v2q-005-candidate-16</t>
  </si>
  <si>
    <t xml:space="preserve">v2q-010-candidate-06</t>
  </si>
  <si>
    <t xml:space="preserve">pilot-v2-doc-pm-kmy-guidelines-0019-2d8ab840045f</t>
  </si>
  <si>
    <t xml:space="preserve">this Rule shall be in writing
signed by the subscriber and shall remain in full force and effect until the death of the
Beneficiary or until the same will be revoked in writing by the subscriber by whom the
same was made and a fresh appointment / nomination is made in the manner aforesaid.
(c)   A subscriber may from time to time or at any time without the consent of the
nominee, if any, revoke or change the nominee by filling a written notice of the change
online or at the CSC in the prescribed form whereupon an acknowledgement of the
change and the registration of the name of the new Nominee  will be given to the
subscriber online / at the CSC. The New appointment shall take effect on the date the
notice  was  signed  whether  or  not  the  subscriber   is  living  on  the  date  of
acknowledgement of the change without prejudice to the Corporation on account of any
payment made before the acknowledgement of the change.
(d)     If a Nominee shall at the time of his appointment be a minor or otherwise under
disability to give a legal receipt or discharge to the LIC the subscriber must at the time of
such appointment as aforesaid appoint a person who is major and who is capable of
giving a legal receipt or discharge to the Corporation and to whom the benefits are to be
paid for and on behalf of such Nominee so long as such minority or disability continues.
(e)     If more than one Nominee is appointed and in such appointment the Subscriber
has failed to specify their respective interest, the Nominees so named shall share equally.
If any designated Nominee predeceases the Subscriber the interest of such Nominee
shall terminate and his/her share shall be payable equally</t>
  </si>
  <si>
    <t xml:space="preserve">v2q-015-candidate-21</t>
  </si>
  <si>
    <t xml:space="preserve">v2q-019-candidate-14</t>
  </si>
  <si>
    <t xml:space="preserve">v2q-030-candidate-14</t>
  </si>
  <si>
    <t xml:space="preserve">v2q-006-candidate-09</t>
  </si>
  <si>
    <t xml:space="preserve">v2q-015-candidate-03</t>
  </si>
  <si>
    <t xml:space="preserve">v2q-010-candidate-01</t>
  </si>
  <si>
    <t xml:space="preserve">v2q-007-candidate-11</t>
  </si>
  <si>
    <t xml:space="preserve">v2q-008-candidate-14</t>
  </si>
  <si>
    <t xml:space="preserve">v2q-034-candidate-16</t>
  </si>
  <si>
    <t xml:space="preserve">v2q-010-candidate-20</t>
  </si>
  <si>
    <t xml:space="preserve">v2q-006-candidate-10</t>
  </si>
  <si>
    <t xml:space="preserve">v2q-006-candidate-08</t>
  </si>
  <si>
    <t xml:space="preserve">v2q-015-candidate-19</t>
  </si>
  <si>
    <t xml:space="preserve">v2q-023-candidate-04</t>
  </si>
  <si>
    <t xml:space="preserve">v2q-008-candidate-06</t>
  </si>
  <si>
    <t xml:space="preserve">v2q-025-candidate-12</t>
  </si>
  <si>
    <t xml:space="preserve">v2q-015-candidate-08</t>
  </si>
  <si>
    <t xml:space="preserve">v2q-010-candidate-05</t>
  </si>
  <si>
    <t xml:space="preserve">v2q-031-candidate-18</t>
  </si>
  <si>
    <t xml:space="preserve">v2q-015-candidate-18</t>
  </si>
  <si>
    <t xml:space="preserve">v2q-001-candidate-14</t>
  </si>
  <si>
    <t xml:space="preserve">v2q-015-candidate-06</t>
  </si>
  <si>
    <t xml:space="preserve">v2q-014-candidate-13</t>
  </si>
  <si>
    <t xml:space="preserve">v2q-001-candidate-11</t>
  </si>
  <si>
    <t xml:space="preserve">v2q-030-candidate-17</t>
  </si>
  <si>
    <t xml:space="preserve">v2q-033-candidate-15</t>
  </si>
  <si>
    <t xml:space="preserve">SVANidhi application/enrolment steps — correct scheme but no financial mechanism detail.</t>
  </si>
  <si>
    <t xml:space="preserve">v2q-029-candidate-22</t>
  </si>
  <si>
    <t xml:space="preserve">v2q-014-candidate-14</t>
  </si>
  <si>
    <t xml:space="preserve">v2q-020-candidate-04</t>
  </si>
  <si>
    <t xml:space="preserve">v2q-002-candidate-11</t>
  </si>
  <si>
    <t xml:space="preserve">v2q-029-candidate-21</t>
  </si>
  <si>
    <t xml:space="preserve">v2q-010-candidate-15</t>
  </si>
  <si>
    <t xml:space="preserve">v2q-026-candidate-14</t>
  </si>
  <si>
    <t xml:space="preserve">v2q-021-candidate-06</t>
  </si>
  <si>
    <t xml:space="preserve">v2q-003-candidate-10</t>
  </si>
  <si>
    <t xml:space="preserve">v2q-025-candidate-04</t>
  </si>
  <si>
    <t xml:space="preserve">v2q-005-candidate-01</t>
  </si>
  <si>
    <t xml:space="preserve">v2q-009-candidate-24</t>
  </si>
  <si>
    <t xml:space="preserve">v2q-011-candidate-17</t>
  </si>
  <si>
    <t xml:space="preserve">v2q-014-candidate-10</t>
  </si>
  <si>
    <t xml:space="preserve">v2q-024-candidate-08</t>
  </si>
  <si>
    <t xml:space="preserve">v2q-022-candidate-27</t>
  </si>
  <si>
    <t xml:space="preserve">v2q-005-candidate-09</t>
  </si>
  <si>
    <t xml:space="preserve">v2q-032-candidate-13</t>
  </si>
  <si>
    <t xml:space="preserve">PM-KMY matching-contribution and LIC definitions — correct scheme, contribution structure not pension amount.</t>
  </si>
  <si>
    <t xml:space="preserve">v2q-026-candidate-08</t>
  </si>
  <si>
    <t xml:space="preserve">v2q-034-candidate-21</t>
  </si>
  <si>
    <t xml:space="preserve">PMUY directly states 'All PMUY beneficiaries will be provided with first LPG refill and Stove (hot plate) both free of cost along with their deposit free connection' — directly supports clean-cooking/LPG-access component for v2q-034; upgrade to 2.</t>
  </si>
  <si>
    <t xml:space="preserve">v2q-004-candidate-04</t>
  </si>
  <si>
    <t xml:space="preserve">v2q-023-candidate-25</t>
  </si>
  <si>
    <t xml:space="preserve">v2q-019-candidate-18</t>
  </si>
  <si>
    <t xml:space="preserve">v2q-025-candidate-11</t>
  </si>
  <si>
    <t xml:space="preserve">v2q-018-candidate-08</t>
  </si>
  <si>
    <t xml:space="preserve">v2q-008-candidate-18</t>
  </si>
  <si>
    <t xml:space="preserve">v2q-028-candidate-05</t>
  </si>
  <si>
    <t xml:space="preserve">STT induction kit (T-shirt/jacket/bag, ₹500 cap) and assessment pay-out (₹600/candidate) — kit/stipend detail does not address RPL certification scope or STT's fresh-skilling purpose; downgrade to 0.</t>
  </si>
  <si>
    <t xml:space="preserve">v2q-024-candidate-17</t>
  </si>
  <si>
    <t xml:space="preserve">v2q-015-candidate-14</t>
  </si>
  <si>
    <t xml:space="preserve">v2q-022-candidate-19</t>
  </si>
  <si>
    <t xml:space="preserve">v2q-034-candidate-10</t>
  </si>
  <si>
    <t xml:space="preserve">PMAY-G priority beneficiary categories (HIV, single girl child, ST) — correct scheme but not housing quality/amenities.</t>
  </si>
  <si>
    <t xml:space="preserve">v2q-016-candidate-01</t>
  </si>
  <si>
    <t xml:space="preserve">v2q-028-candidate-09</t>
  </si>
  <si>
    <t xml:space="preserve">RPL cost-per-candidate structure — correct sub-scheme, cost not certification scope.</t>
  </si>
  <si>
    <t xml:space="preserve">v2q-003-candidate-23</t>
  </si>
  <si>
    <t xml:space="preserve">v2q-022-candidate-02</t>
  </si>
  <si>
    <t xml:space="preserve">v2q-024-candidate-04</t>
  </si>
  <si>
    <t xml:space="preserve">v2q-023-candidate-09</t>
  </si>
  <si>
    <t xml:space="preserve">v2q-024-candidate-23</t>
  </si>
  <si>
    <t xml:space="preserve">v2q-026-candidate-05</t>
  </si>
  <si>
    <t xml:space="preserve">v2q-030-candidate-12</t>
  </si>
  <si>
    <t xml:space="preserve">v2q-027-candidate-13</t>
  </si>
  <si>
    <t xml:space="preserve">v2q-016-candidate-13</t>
  </si>
  <si>
    <t xml:space="preserve">v2q-021-candidate-05</t>
  </si>
  <si>
    <t xml:space="preserve">v2q-027-candidate-20</t>
  </si>
  <si>
    <t xml:space="preserve">v2q-028-candidate-17</t>
  </si>
  <si>
    <t xml:space="preserve">pilot-v2-doc-pm-kisan-guidelines-0015-763c5a3df330</t>
  </si>
  <si>
    <t xml:space="preserve">shall have to ensure Aadhaar linked bank accounts of the
beneficiaries, except in case of Assam, Meghalaya and Jammu &amp; Kashmir, which have
been given exemption  till the 31st March, 2021. For ease of implementation the States
may consider assigning the job of sponsoring bank for the scheme to the same bank
being used by concerned State for MGNREGS.
10.4  The funds pertaining to income support benefit as well as administrative charges
shall be released from Government  of  India  to  the State designated account  /
mechanism. Detailed modalities for transfer of funds are as under:
(a)   The amount due to the beneficiaries under the scheme is to be paid directly into
their bank accounts through the mechanism of Direct Benefit Transfer (DBT). The
amount will flow to the accounts of the beneficiaries held in destination banks, through
the accredited bank of DAC&amp;FW and sponsoring banks of the States /UTs, using PFMS
portal. The destination bank can be a Schedule Bank, Post  office, Rural Bank,
Cooperative Bank or any other Financial Institution.
(b)   The important steps to be taken by State  / UT Governments and the Union
Government for timely payment into the beneficiary account are listed below:
   A. State / UT Government:
    i.   State  / UT Governments are  to  identify the  beneficiaries and upload  the
       beneficiary details on the web portal of the scheme.
   ii.   Correctness of beneficiary details is to be ensured by State / UT Governments.
       Further, speedy reconciliation in case of wrong / incomplete bank details of the
       beneficiary should be ensured.
  iii.   For facilitating payment, Fund Transfer Order (FTO) for the total amount in a
      batch of beneficiaries is to be signed by State  / UT on the web portal of the
      scheme.
  iv.   State / UT Governments are also required to identify a bank in</t>
  </si>
  <si>
    <t xml:space="preserve">v2q-010-candidate-19</t>
  </si>
  <si>
    <t xml:space="preserve">v2q-030-candidate-07</t>
  </si>
  <si>
    <t xml:space="preserve">v2q-018-candidate-02</t>
  </si>
  <si>
    <t xml:space="preserve">v2q-017-candidate-14</t>
  </si>
  <si>
    <t xml:space="preserve">v2q-016-candidate-05</t>
  </si>
  <si>
    <t xml:space="preserve">v2q-007-candidate-21</t>
  </si>
  <si>
    <t xml:space="preserve">v2q-032-candidate-02</t>
  </si>
  <si>
    <t xml:space="preserve">PM-KMY guidelines introduction explicitly states 'old age pension scheme for all land holding Small and Marginal Farmers (SMFs)' — directly supports PM-KMY old-age income-security component for v2q-032; upgrade to 2.</t>
  </si>
  <si>
    <t xml:space="preserve">v2q-025-candidate-18</t>
  </si>
  <si>
    <t xml:space="preserve">v2q-021-candidate-20</t>
  </si>
  <si>
    <t xml:space="preserve">v2q-024-candidate-18</t>
  </si>
  <si>
    <t xml:space="preserve">v2q-020-candidate-19</t>
  </si>
  <si>
    <t xml:space="preserve">v2q-020-candidate-15</t>
  </si>
  <si>
    <t xml:space="preserve">v2q-024-candidate-21</t>
  </si>
  <si>
    <t xml:space="preserve">v2q-016-candidate-06</t>
  </si>
  <si>
    <t xml:space="preserve">RPL cost structure (₹2,000/₹1,700 per candidate) — correct scheme, cost detail not the certification function.</t>
  </si>
  <si>
    <t xml:space="preserve">v2q-029-candidate-18</t>
  </si>
  <si>
    <t xml:space="preserve">v2q-016-candidate-11</t>
  </si>
  <si>
    <t xml:space="preserve">v2q-019-candidate-02</t>
  </si>
  <si>
    <t xml:space="preserve">v2q-009-candidate-06</t>
  </si>
  <si>
    <t xml:space="preserve">v2q-013-candidate-17</t>
  </si>
  <si>
    <t xml:space="preserve">v2q-007-candidate-28</t>
  </si>
  <si>
    <t xml:space="preserve">v2q-004-candidate-20</t>
  </si>
  <si>
    <t xml:space="preserve">v2q-026-candidate-17</t>
  </si>
  <si>
    <t xml:space="preserve">v2q-025-candidate-15</t>
  </si>
  <si>
    <t xml:space="preserve">v2q-024-candidate-15</t>
  </si>
  <si>
    <t xml:space="preserve">v2q-017-candidate-02</t>
  </si>
  <si>
    <t xml:space="preserve">v2q-008-candidate-15</t>
  </si>
  <si>
    <t xml:space="preserve">v2q-022-candidate-15</t>
  </si>
  <si>
    <t xml:space="preserve">v2q-004-candidate-15</t>
  </si>
  <si>
    <t xml:space="preserve">v2q-029-candidate-16</t>
  </si>
  <si>
    <t xml:space="preserve">v2q-025-candidate-08</t>
  </si>
  <si>
    <t xml:space="preserve">v2q-014-candidate-02</t>
  </si>
  <si>
    <t xml:space="preserve">v2q-032-candidate-16</t>
  </si>
  <si>
    <t xml:space="preserve">v2q-025-candidate-16</t>
  </si>
  <si>
    <t xml:space="preserve">v2q-022-candidate-25</t>
  </si>
  <si>
    <t xml:space="preserve">v2q-013-candidate-06</t>
  </si>
  <si>
    <t xml:space="preserve">v2q-010-candidate-18</t>
  </si>
  <si>
    <t xml:space="preserve">v2q-021-candidate-15</t>
  </si>
  <si>
    <t xml:space="preserve">v2q-007-candidate-10</t>
  </si>
  <si>
    <t xml:space="preserve">v2q-005-candidate-05</t>
  </si>
  <si>
    <t xml:space="preserve">v2q-034-candidate-07</t>
  </si>
  <si>
    <t xml:space="preserve">v2q-031-candidate-02</t>
  </si>
  <si>
    <t xml:space="preserve">v2q-005-candidate-11</t>
  </si>
  <si>
    <t xml:space="preserve">v2q-024-candidate-03</t>
  </si>
  <si>
    <t xml:space="preserve">v2q-019-candidate-19</t>
  </si>
  <si>
    <t xml:space="preserve">v2q-023-candidate-17</t>
  </si>
  <si>
    <t xml:space="preserve">v2q-017-candidate-05</t>
  </si>
  <si>
    <t xml:space="preserve">v2q-012-candidate-08</t>
  </si>
  <si>
    <t xml:space="preserve">v2q-026-candidate-18</t>
  </si>
  <si>
    <t xml:space="preserve">v2q-016-candidate-02</t>
  </si>
  <si>
    <t xml:space="preserve">v2q-002-candidate-01</t>
  </si>
  <si>
    <t xml:space="preserve">v2q-033-candidate-03</t>
  </si>
  <si>
    <t xml:space="preserve">v2q-028-candidate-16</t>
  </si>
  <si>
    <t xml:space="preserve">v2q-021-candidate-01</t>
  </si>
  <si>
    <t xml:space="preserve">v2q-022-candidate-11</t>
  </si>
  <si>
    <t xml:space="preserve">v2q-013-candidate-16</t>
  </si>
  <si>
    <t xml:space="preserve">v2q-011-candidate-07</t>
  </si>
  <si>
    <t xml:space="preserve">v2q-001-candidate-23</t>
  </si>
  <si>
    <t xml:space="preserve">v2q-030-candidate-13</t>
  </si>
  <si>
    <t xml:space="preserve">v2q-025-candidate-20</t>
  </si>
  <si>
    <t xml:space="preserve">v2q-012-candidate-01</t>
  </si>
  <si>
    <t xml:space="preserve">v2q-005-candidate-02</t>
  </si>
  <si>
    <t xml:space="preserve">v2q-020-candidate-11</t>
  </si>
  <si>
    <t xml:space="preserve">v2q-026-candidate-07</t>
  </si>
  <si>
    <t xml:space="preserve">v2q-003-candidate-09</t>
  </si>
  <si>
    <t xml:space="preserve">v2q-010-candidate-07</t>
  </si>
  <si>
    <t xml:space="preserve">v2q-023-candidate-11</t>
  </si>
  <si>
    <t xml:space="preserve">v2q-026-candidate-23</t>
  </si>
  <si>
    <t xml:space="preserve">v2q-028-candidate-08</t>
  </si>
  <si>
    <t xml:space="preserve">PMKVY-SP enrollment restriction (no re-enroll same job role) — sibling sub-scheme, not RPL or STT specifics.</t>
  </si>
  <si>
    <t xml:space="preserve">v2q-010-candidate-04</t>
  </si>
  <si>
    <t xml:space="preserve">v2q-026-candidate-06</t>
  </si>
  <si>
    <t xml:space="preserve">v2q-002-candidate-19</t>
  </si>
  <si>
    <t xml:space="preserve">v2q-009-candidate-21</t>
  </si>
  <si>
    <t xml:space="preserve">v2q-022-candidate-05</t>
  </si>
  <si>
    <t xml:space="preserve">v2q-011-candidate-09</t>
  </si>
  <si>
    <t xml:space="preserve">v2q-033-candidate-11</t>
  </si>
  <si>
    <t xml:space="preserve">v2q-018-candidate-15</t>
  </si>
  <si>
    <t xml:space="preserve">v2q-010-candidate-02</t>
  </si>
  <si>
    <t xml:space="preserve">v2q-020-candidate-07</t>
  </si>
  <si>
    <t xml:space="preserve">v2q-021-candidate-13</t>
  </si>
  <si>
    <t xml:space="preserve">v2q-025-candidate-06</t>
  </si>
  <si>
    <t xml:space="preserve">v2q-013-candidate-11</t>
  </si>
  <si>
    <t xml:space="preserve">v2q-006-candidate-16</t>
  </si>
  <si>
    <t xml:space="preserve">v2q-031-candidate-16</t>
  </si>
  <si>
    <t xml:space="preserve">v2q-027-candidate-11</t>
  </si>
  <si>
    <t xml:space="preserve">v2q-005-candidate-24</t>
  </si>
  <si>
    <t xml:space="preserve">v2q-003-candidate-14</t>
  </si>
  <si>
    <t xml:space="preserve">v2q-031-candidate-13</t>
  </si>
  <si>
    <t xml:space="preserve">v2q-005-candidate-03</t>
  </si>
  <si>
    <t xml:space="preserve">pilot-v2-doc-pm-kisan-guidelines-0014-ba6fddd38f9c</t>
  </si>
  <si>
    <t xml:space="preserve">financial benefits to the eligible farmers,
Aadhaar number shall be collected for all beneficiaries, since payment of all installments
pertaining to the trimester December, 2019 – March, 2020 onwards shall be done only
on the basis of Aadhaar seeded data base. However, exemption has been to the States
of Assam, Meghalaya and Jammu &amp; Kashmir from the requirement of Aadhaar number
and Aadhaar seeded database under the scheme till 31.3.2021. In the meantime these
States will complete Aadhaar enrolment so that subsequent installments are released
on the basis of Aadhaar seeded data only. States / UTs shall ensure that there is no
duplication of the payment transferred to eligible families.
10.3  The funds pertaining to income support benefit as well as administrative charges
shall be released from Government  of India  to the States’ designated account  /
mechanism.   The  benefit  shall be  transferred by Government  of  India  to  the
beneficiaries through a mechanism wherein district wise beneficiaries’  lists shall be
                                         10
certified and uploaded by the States  / UTs and the funds  will be  electronically
transferred via State Notional Account [similar to Mahatma Gandhi National Rural
Employment Guarantee Scheme (MNREGS)] to the beneficiaries’ bank accounts on the
basis of their account numbers and IFSC codes. However, where the states verify that
Aadhaar linked accounts are not the loan accounts of beneficiaries, the Aadhaar linked
payment system can be adopted. However, from the December, 2019 – March, 2020
trimester onwards the States shall have to ensure Aadhaar linked bank accounts of the
beneficiaries, except in case of Assam, Meghalaya and Jammu &amp; Kashmir, which have
been given exemption  till the 31st March, 2021. For ease of implementation the States
may consider assigning the job of sponsoring bank for the scheme to the same bank
being used by concerned State for MGNREGS.
10.4</t>
  </si>
  <si>
    <t xml:space="preserve">v2q-030-candidate-06</t>
  </si>
  <si>
    <t xml:space="preserve">v2q-015-candidate-04</t>
  </si>
  <si>
    <t xml:space="preserve">v2q-026-candidate-03</t>
  </si>
  <si>
    <t xml:space="preserve">v2q-002-candidate-24</t>
  </si>
  <si>
    <t xml:space="preserve">v2q-002-candidate-21</t>
  </si>
  <si>
    <t xml:space="preserve">v2q-002-candidate-14</t>
  </si>
  <si>
    <t xml:space="preserve">v2q-025-candidate-02</t>
  </si>
  <si>
    <t xml:space="preserve">v2q-029-candidate-09</t>
  </si>
  <si>
    <t xml:space="preserve">v2q-014-candidate-05</t>
  </si>
  <si>
    <t xml:space="preserve">v2q-003-candidate-18</t>
  </si>
  <si>
    <t xml:space="preserve">v2q-011-candidate-10</t>
  </si>
  <si>
    <t xml:space="preserve">v2q-022-candidate-20</t>
  </si>
  <si>
    <t xml:space="preserve">v2q-019-candidate-16</t>
  </si>
  <si>
    <t xml:space="preserve">v2q-021-candidate-16</t>
  </si>
  <si>
    <t xml:space="preserve">v2q-033-candidate-08</t>
  </si>
  <si>
    <t xml:space="preserve">PMMY chunk explicitly names 'Shishu loans (Covering loans upto Rs. 50,000/-)' with fee-waiver detail — Shishu is the core micro-credit product; directly supports PMMY micro-credit component for v2q-033; upgrade to 2.</t>
  </si>
  <si>
    <t xml:space="preserve">v2q-002-candidate-08</t>
  </si>
  <si>
    <t xml:space="preserve">v2q-007-candidate-02</t>
  </si>
  <si>
    <t xml:space="preserve">v2q-017-candidate-13</t>
  </si>
  <si>
    <t xml:space="preserve">v2q-007-candidate-17</t>
  </si>
  <si>
    <t xml:space="preserve">v2q-023-candidate-05</t>
  </si>
  <si>
    <t xml:space="preserve">v2q-020-candidate-06</t>
  </si>
  <si>
    <t xml:space="preserve">v2q-023-candidate-08</t>
  </si>
  <si>
    <t xml:space="preserve">v2q-031-candidate-14</t>
  </si>
  <si>
    <t xml:space="preserve">v2q-019-candidate-23</t>
  </si>
  <si>
    <t xml:space="preserve">v2q-031-candidate-01</t>
  </si>
  <si>
    <t xml:space="preserve">v2q-030-candidate-10</t>
  </si>
  <si>
    <t xml:space="preserve">v2q-004-candidate-17</t>
  </si>
  <si>
    <t xml:space="preserve">v2q-032-candidate-17</t>
  </si>
  <si>
    <t xml:space="preserve">v2q-024-candidate-13</t>
  </si>
  <si>
    <t xml:space="preserve">v2q-012-candidate-12</t>
  </si>
  <si>
    <t xml:space="preserve">v2q-003-candidate-19</t>
  </si>
  <si>
    <t xml:space="preserve">v2q-019-candidate-15</t>
  </si>
  <si>
    <t xml:space="preserve">v2q-022-candidate-21</t>
  </si>
  <si>
    <t xml:space="preserve">v2q-002-candidate-16</t>
  </si>
  <si>
    <t xml:space="preserve">v2q-025-candidate-01</t>
  </si>
  <si>
    <t xml:space="preserve">v2q-008-candidate-25</t>
  </si>
  <si>
    <t xml:space="preserve">v2q-015-candidate-22</t>
  </si>
  <si>
    <t xml:space="preserve">v2q-031-candidate-05</t>
  </si>
  <si>
    <t xml:space="preserve">v2q-007-candidate-20</t>
  </si>
  <si>
    <t xml:space="preserve">v2q-016-candidate-09</t>
  </si>
  <si>
    <t xml:space="preserve">v2q-011-candidate-19</t>
  </si>
  <si>
    <t xml:space="preserve">v2q-002-candidate-25</t>
  </si>
  <si>
    <t xml:space="preserve">v2q-012-candidate-18</t>
  </si>
  <si>
    <t xml:space="preserve">v2q-033-candidate-05</t>
  </si>
  <si>
    <t xml:space="preserve">v2q-015-candidate-17</t>
  </si>
  <si>
    <t xml:space="preserve">v2q-022-candidate-16</t>
  </si>
  <si>
    <t xml:space="preserve">v2q-004-candidate-19</t>
  </si>
  <si>
    <t xml:space="preserve">Phase 6 Blind Relevance Judging</t>
  </si>
  <si>
    <t xml:space="preserve">Purpose</t>
  </si>
  <si>
    <t xml:space="preserve">Human relevance grading of 755 blinded query–chunk pairs.</t>
  </si>
  <si>
    <t xml:space="preserve">Grade 2</t>
  </si>
  <si>
    <t xml:space="preserve">Candidate directly supports reference answer.</t>
  </si>
  <si>
    <t xml:space="preserve">Grade 1</t>
  </si>
  <si>
    <t xml:space="preserve">Candidate gives useful context but is insufficient alone.</t>
  </si>
  <si>
    <t xml:space="preserve">Grade 0</t>
  </si>
  <si>
    <t xml:space="preserve">Candidate is irrelevant or misleading for question.</t>
  </si>
  <si>
    <t xml:space="preserve">Grade U</t>
  </si>
  <si>
    <t xml:space="preserve">Unclear; requires later adjudication.</t>
  </si>
  <si>
    <t xml:space="preserve">Rationale</t>
  </si>
  <si>
    <t xml:space="preserve">Required for U and recommended for difficult or borderline cases.</t>
  </si>
  <si>
    <t xml:space="preserve">Workflow</t>
  </si>
  <si>
    <t xml:space="preserve">Complete one numbered batch at a time. Use Progress sheet to track completion.</t>
  </si>
  <si>
    <t xml:space="preserve">Boundary</t>
  </si>
  <si>
    <t xml:space="preserve">Do not inspect sealed provenance, system identity, rank, score, qrels, or metrics while judging.</t>
  </si>
  <si>
    <t xml:space="preserve">Judging Progress</t>
  </si>
  <si>
    <t xml:space="preserve">Total pairs</t>
  </si>
  <si>
    <t xml:space="preserve">Completed</t>
  </si>
  <si>
    <t xml:space="preserve">Pending</t>
  </si>
  <si>
    <t xml:space="preserve">Invalid</t>
  </si>
  <si>
    <t xml:space="preserve">Completion</t>
  </si>
  <si>
    <t xml:space="preserve">Batch</t>
  </si>
  <si>
    <t xml:space="preserve">Rows</t>
  </si>
  <si>
    <t xml:space="preserve">Remaining</t>
  </si>
</sst>
</file>

<file path=xl/styles.xml><?xml version="1.0" encoding="utf-8"?>
<styleSheet xmlns="http://schemas.openxmlformats.org/spreadsheetml/2006/main">
  <numFmts count="2">
    <numFmt numFmtId="164" formatCode="General"/>
    <numFmt numFmtId="165" formatCode="0.0%"/>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
      <sz val="11"/>
      <name val="DejaVu Sans"/>
      <family val="2"/>
    </font>
    <font>
      <b val="true"/>
      <sz val="18"/>
      <color rgb="FFFFFFFF"/>
      <name val="Calibri"/>
      <family val="0"/>
      <charset val="1"/>
    </font>
    <font>
      <b val="true"/>
      <sz val="11"/>
      <color rgb="FF17324D"/>
      <name val="Calibri"/>
      <family val="0"/>
      <charset val="1"/>
    </font>
  </fonts>
  <fills count="7">
    <fill>
      <patternFill patternType="none"/>
    </fill>
    <fill>
      <patternFill patternType="gray125"/>
    </fill>
    <fill>
      <patternFill patternType="solid">
        <fgColor rgb="FF17324D"/>
        <bgColor rgb="FF333333"/>
      </patternFill>
    </fill>
    <fill>
      <patternFill patternType="solid">
        <fgColor rgb="FFFFF4CC"/>
        <bgColor rgb="FFEEF3F8"/>
      </patternFill>
    </fill>
    <fill>
      <patternFill patternType="solid">
        <fgColor rgb="FFEEF3F8"/>
        <bgColor rgb="FFFFFFFF"/>
      </patternFill>
    </fill>
    <fill>
      <patternFill patternType="solid">
        <fgColor rgb="FFD9EAF7"/>
        <bgColor rgb="FFD9E2F3"/>
      </patternFill>
    </fill>
    <fill>
      <patternFill patternType="solid">
        <fgColor rgb="FF4F81BD"/>
        <bgColor rgb="FF808080"/>
      </patternFill>
    </fill>
  </fills>
  <borders count="14">
    <border diagonalUp="false" diagonalDown="false">
      <left/>
      <right/>
      <top/>
      <bottom/>
      <diagonal/>
    </border>
    <border diagonalUp="false" diagonalDown="false">
      <left style="medium">
        <color rgb="FF17324D"/>
      </left>
      <right/>
      <top style="medium">
        <color rgb="FF17324D"/>
      </top>
      <bottom style="medium">
        <color rgb="FF17324D"/>
      </bottom>
      <diagonal/>
    </border>
    <border diagonalUp="false" diagonalDown="false">
      <left/>
      <right/>
      <top style="medium">
        <color rgb="FF17324D"/>
      </top>
      <bottom style="medium">
        <color rgb="FF17324D"/>
      </bottom>
      <diagonal/>
    </border>
    <border diagonalUp="false" diagonalDown="false">
      <left/>
      <right style="medium">
        <color rgb="FF17324D"/>
      </right>
      <top style="medium">
        <color rgb="FF17324D"/>
      </top>
      <bottom style="medium">
        <color rgb="FF17324D"/>
      </bottom>
      <diagonal/>
    </border>
    <border diagonalUp="false" diagonalDown="false">
      <left/>
      <right/>
      <top/>
      <bottom style="thin">
        <color rgb="FFD9E2F3"/>
      </bottom>
      <diagonal/>
    </border>
    <border diagonalUp="false" diagonalDown="false">
      <left/>
      <right/>
      <top style="thin">
        <color rgb="FFD9E2F3"/>
      </top>
      <bottom style="thin">
        <color rgb="FFD9E2F3"/>
      </bottom>
      <diagonal/>
    </border>
    <border diagonalUp="false" diagonalDown="false">
      <left/>
      <right/>
      <top style="thin">
        <color rgb="FFD9E2F3"/>
      </top>
      <bottom/>
      <diagonal/>
    </border>
    <border diagonalUp="false" diagonalDown="false">
      <left style="thin">
        <color rgb="FFA6B7C8"/>
      </left>
      <right/>
      <top style="thin">
        <color rgb="FFA6B7C8"/>
      </top>
      <bottom/>
      <diagonal/>
    </border>
    <border diagonalUp="false" diagonalDown="false">
      <left/>
      <right style="thin">
        <color rgb="FFA6B7C8"/>
      </right>
      <top style="thin">
        <color rgb="FFA6B7C8"/>
      </top>
      <bottom/>
      <diagonal/>
    </border>
    <border diagonalUp="false" diagonalDown="false">
      <left style="thin">
        <color rgb="FFA6B7C8"/>
      </left>
      <right/>
      <top/>
      <bottom/>
      <diagonal/>
    </border>
    <border diagonalUp="false" diagonalDown="false">
      <left/>
      <right style="thin">
        <color rgb="FFA6B7C8"/>
      </right>
      <top/>
      <bottom/>
      <diagonal/>
    </border>
    <border diagonalUp="false" diagonalDown="false">
      <left style="thin">
        <color rgb="FFA6B7C8"/>
      </left>
      <right/>
      <top/>
      <bottom style="thin">
        <color rgb="FFA6B7C8"/>
      </bottom>
      <diagonal/>
    </border>
    <border diagonalUp="false" diagonalDown="false">
      <left/>
      <right style="thin">
        <color rgb="FFA6B7C8"/>
      </right>
      <top/>
      <bottom style="thin">
        <color rgb="FFA6B7C8"/>
      </bottom>
      <diagonal/>
    </border>
    <border diagonalUp="false" diagonalDown="false">
      <left style="thin">
        <color rgb="FFD9E2F3"/>
      </left>
      <right style="thin">
        <color rgb="FFD9E2F3"/>
      </right>
      <top style="thin">
        <color rgb="FFD9E2F3"/>
      </top>
      <bottom style="thin">
        <color rgb="FFD9E2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5" fillId="2" borderId="2" xfId="20" applyFont="true" applyBorder="true" applyAlignment="true" applyProtection="false">
      <alignment horizontal="center" vertical="center" textRotation="0" wrapText="true" indent="0" shrinkToFit="false"/>
      <protection locked="true" hidden="false"/>
    </xf>
    <xf numFmtId="164" fontId="5" fillId="2" borderId="3" xfId="20" applyFont="true" applyBorder="true" applyAlignment="true" applyProtection="false">
      <alignment horizontal="center" vertical="center" textRotation="0" wrapText="true" indent="0" shrinkToFit="false"/>
      <protection locked="true" hidden="false"/>
    </xf>
    <xf numFmtId="164" fontId="4" fillId="0" borderId="4" xfId="20" applyFont="true" applyBorder="true" applyAlignment="true" applyProtection="false">
      <alignment horizontal="general" vertical="top" textRotation="0" wrapText="true" indent="0" shrinkToFit="false"/>
      <protection locked="true" hidden="false"/>
    </xf>
    <xf numFmtId="164" fontId="4" fillId="3" borderId="4" xfId="20" applyFont="true" applyBorder="true" applyAlignment="true" applyProtection="false">
      <alignment horizontal="general" vertical="top" textRotation="0" wrapText="true" indent="0" shrinkToFit="false"/>
      <protection locked="true" hidden="false"/>
    </xf>
    <xf numFmtId="164" fontId="4" fillId="3" borderId="4" xfId="20" applyFont="false" applyBorder="true" applyAlignment="true" applyProtection="false">
      <alignment horizontal="general" vertical="top" textRotation="0" wrapText="true" indent="0" shrinkToFit="false"/>
      <protection locked="true" hidden="false"/>
    </xf>
    <xf numFmtId="164" fontId="4" fillId="4" borderId="4" xfId="20" applyFont="false" applyBorder="true" applyAlignment="true" applyProtection="false">
      <alignment horizontal="general" vertical="top" textRotation="0" wrapText="true" indent="0" shrinkToFit="false"/>
      <protection locked="true" hidden="false"/>
    </xf>
    <xf numFmtId="164" fontId="4" fillId="0" borderId="5" xfId="20" applyFont="true" applyBorder="true" applyAlignment="true" applyProtection="false">
      <alignment horizontal="general" vertical="top" textRotation="0" wrapText="true" indent="0" shrinkToFit="false"/>
      <protection locked="true" hidden="false"/>
    </xf>
    <xf numFmtId="164" fontId="4" fillId="3" borderId="5" xfId="20" applyFont="true" applyBorder="true" applyAlignment="true" applyProtection="false">
      <alignment horizontal="general" vertical="top" textRotation="0" wrapText="true" indent="0" shrinkToFit="false"/>
      <protection locked="true" hidden="false"/>
    </xf>
    <xf numFmtId="164" fontId="4" fillId="3" borderId="5" xfId="20" applyFont="false" applyBorder="true" applyAlignment="true" applyProtection="false">
      <alignment horizontal="general" vertical="top" textRotation="0" wrapText="true" indent="0" shrinkToFit="false"/>
      <protection locked="true" hidden="false"/>
    </xf>
    <xf numFmtId="164" fontId="4" fillId="4" borderId="5" xfId="20" applyFont="false" applyBorder="true" applyAlignment="true" applyProtection="false">
      <alignment horizontal="general" vertical="top" textRotation="0" wrapText="true" indent="0" shrinkToFit="false"/>
      <protection locked="true" hidden="false"/>
    </xf>
    <xf numFmtId="164" fontId="4" fillId="0" borderId="6" xfId="20" applyFont="true" applyBorder="true" applyAlignment="true" applyProtection="false">
      <alignment horizontal="general" vertical="top" textRotation="0" wrapText="true" indent="0" shrinkToFit="false"/>
      <protection locked="true" hidden="false"/>
    </xf>
    <xf numFmtId="164" fontId="4" fillId="3" borderId="6" xfId="20" applyFont="true" applyBorder="true" applyAlignment="true" applyProtection="false">
      <alignment horizontal="general" vertical="top" textRotation="0" wrapText="true" indent="0" shrinkToFit="false"/>
      <protection locked="true" hidden="false"/>
    </xf>
    <xf numFmtId="164" fontId="4" fillId="3" borderId="6" xfId="20" applyFont="false" applyBorder="true" applyAlignment="true" applyProtection="false">
      <alignment horizontal="general" vertical="top" textRotation="0" wrapText="true" indent="0" shrinkToFit="false"/>
      <protection locked="true" hidden="false"/>
    </xf>
    <xf numFmtId="164" fontId="4" fillId="4" borderId="6" xfId="20" applyFont="fals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general" vertical="center" textRotation="0" wrapText="false" indent="0" shrinkToFit="false"/>
      <protection locked="true" hidden="false"/>
    </xf>
    <xf numFmtId="164" fontId="8" fillId="5" borderId="7" xfId="20" applyFont="true" applyBorder="true" applyAlignment="true" applyProtection="false">
      <alignment horizontal="general" vertical="top" textRotation="0" wrapText="false" indent="0" shrinkToFit="false"/>
      <protection locked="true" hidden="false"/>
    </xf>
    <xf numFmtId="164" fontId="4" fillId="0" borderId="8" xfId="20" applyFont="true" applyBorder="true" applyAlignment="true" applyProtection="false">
      <alignment horizontal="general" vertical="top" textRotation="0" wrapText="true" indent="0" shrinkToFit="false"/>
      <protection locked="true" hidden="false"/>
    </xf>
    <xf numFmtId="164" fontId="8" fillId="5" borderId="9" xfId="20" applyFont="true" applyBorder="true" applyAlignment="true" applyProtection="false">
      <alignment horizontal="general" vertical="top" textRotation="0" wrapText="false" indent="0" shrinkToFit="false"/>
      <protection locked="true" hidden="false"/>
    </xf>
    <xf numFmtId="164" fontId="4" fillId="0" borderId="10" xfId="20" applyFont="true" applyBorder="true" applyAlignment="true" applyProtection="false">
      <alignment horizontal="general" vertical="top" textRotation="0" wrapText="true" indent="0" shrinkToFit="false"/>
      <protection locked="true" hidden="false"/>
    </xf>
    <xf numFmtId="164" fontId="8" fillId="5" borderId="11" xfId="20" applyFont="true" applyBorder="true" applyAlignment="true" applyProtection="false">
      <alignment horizontal="general" vertical="top" textRotation="0" wrapText="false" indent="0" shrinkToFit="false"/>
      <protection locked="true" hidden="false"/>
    </xf>
    <xf numFmtId="164" fontId="4" fillId="0" borderId="12"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false" applyProtection="false">
      <alignment horizontal="general" vertical="bottom" textRotation="0" wrapText="false" indent="0" shrinkToFit="false"/>
      <protection locked="true" hidden="false"/>
    </xf>
    <xf numFmtId="164" fontId="8" fillId="5" borderId="7" xfId="20" applyFont="true" applyBorder="true" applyAlignment="false" applyProtection="false">
      <alignment horizontal="general" vertical="bottom" textRotation="0" wrapText="false" indent="0" shrinkToFit="false"/>
      <protection locked="true" hidden="false"/>
    </xf>
    <xf numFmtId="164" fontId="4" fillId="0" borderId="8" xfId="20" applyFont="false" applyBorder="true" applyAlignment="false" applyProtection="false">
      <alignment horizontal="general" vertical="bottom" textRotation="0" wrapText="false" indent="0" shrinkToFit="false"/>
      <protection locked="true" hidden="false"/>
    </xf>
    <xf numFmtId="164" fontId="8" fillId="5" borderId="9" xfId="20" applyFont="true" applyBorder="true" applyAlignment="false" applyProtection="false">
      <alignment horizontal="general" vertical="bottom" textRotation="0" wrapText="false" indent="0" shrinkToFit="false"/>
      <protection locked="true" hidden="false"/>
    </xf>
    <xf numFmtId="164" fontId="4" fillId="0" borderId="10" xfId="20" applyFont="false" applyBorder="true" applyAlignment="false" applyProtection="false">
      <alignment horizontal="general" vertical="bottom" textRotation="0" wrapText="false" indent="0" shrinkToFit="false"/>
      <protection locked="true" hidden="false"/>
    </xf>
    <xf numFmtId="164" fontId="8" fillId="5" borderId="11" xfId="20" applyFont="true" applyBorder="true" applyAlignment="false" applyProtection="false">
      <alignment horizontal="general" vertical="bottom" textRotation="0" wrapText="false" indent="0" shrinkToFit="false"/>
      <protection locked="true" hidden="false"/>
    </xf>
    <xf numFmtId="165" fontId="4" fillId="0" borderId="12" xfId="20" applyFont="false" applyBorder="true" applyAlignment="false" applyProtection="false">
      <alignment horizontal="general" vertical="bottom" textRotation="0" wrapText="false" indent="0" shrinkToFit="false"/>
      <protection locked="true" hidden="false"/>
    </xf>
    <xf numFmtId="164" fontId="5" fillId="6" borderId="13" xfId="20" applyFont="true" applyBorder="true" applyAlignment="true" applyProtection="false">
      <alignment horizontal="center" vertical="bottom" textRotation="0" wrapText="false" indent="0" shrinkToFit="false"/>
      <protection locked="true" hidden="false"/>
    </xf>
    <xf numFmtId="164" fontId="4" fillId="0" borderId="13" xfId="2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ont>
        <b val="1"/>
        <color rgb="FF006100"/>
      </font>
      <fill>
        <patternFill>
          <bgColor rgb="FFC6EFCE"/>
        </patternFill>
      </fill>
    </dxf>
    <dxf>
      <font>
        <b val="1"/>
        <color rgb="FF9C6500"/>
      </font>
      <fill>
        <patternFill>
          <bgColor rgb="FFFFEB9C"/>
        </patternFill>
      </fill>
    </dxf>
    <dxf>
      <font>
        <b val="1"/>
        <color rgb="FF9C0006"/>
      </font>
      <fill>
        <patternFill>
          <bgColor rgb="FFFFC7CE"/>
        </patternFill>
      </fill>
    </dxf>
    <dxf>
      <font>
        <b val="1"/>
        <color rgb="FF1F4E78"/>
      </font>
      <fill>
        <patternFill>
          <bgColor rgb="FFD9EAF7"/>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A6B7C8"/>
      <rgbColor rgb="FF808080"/>
      <rgbColor rgb="FF9999FF"/>
      <rgbColor rgb="FF993366"/>
      <rgbColor rgb="FFFFF4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EF3F8"/>
      <rgbColor rgb="FFC6EFCE"/>
      <rgbColor rgb="FFFFEB9C"/>
      <rgbColor rgb="FF99CCFF"/>
      <rgbColor rgb="FFFF99CC"/>
      <rgbColor rgb="FFCC99FF"/>
      <rgbColor rgb="FFFFC7CE"/>
      <rgbColor rgb="FF3366FF"/>
      <rgbColor rgb="FF33CCCC"/>
      <rgbColor rgb="FF99CC00"/>
      <rgbColor rgb="FFFFCC00"/>
      <rgbColor rgb="FFFF9900"/>
      <rgbColor rgb="FFFF6600"/>
      <rgbColor rgb="FF4F81BD"/>
      <rgbColor rgb="FF969696"/>
      <rgbColor rgb="FF17324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38"/>
    <col collapsed="false" customWidth="true" hidden="false" outlineLevel="0" max="4" min="4" style="0" width="44"/>
    <col collapsed="false" customWidth="true" hidden="false" outlineLevel="0" max="5" min="5" style="0" width="35"/>
    <col collapsed="false" customWidth="true" hidden="false" outlineLevel="0" max="6" min="6" style="0" width="30"/>
    <col collapsed="false" customWidth="true" hidden="false" outlineLevel="0" max="7" min="7" style="0" width="78"/>
    <col collapsed="false" customWidth="true" hidden="false" outlineLevel="0" max="8" min="8" style="0" width="15"/>
    <col collapsed="false" customWidth="true" hidden="false" outlineLevel="0" max="9" min="9" style="0" width="35"/>
    <col collapsed="false" customWidth="true" hidden="false" outlineLevel="0" max="10" min="10" style="0" width="9"/>
    <col collapsed="false" customWidth="true" hidden="false" outlineLevel="0" max="11" min="11" style="0" width="12"/>
  </cols>
  <sheetData>
    <row r="1" customFormat="false" ht="31.5" hidden="false" customHeight="true" outlineLevel="0" collapsed="false">
      <c r="A1" s="1" t="s">
        <v>0</v>
      </c>
      <c r="B1" s="2" t="s">
        <v>1</v>
      </c>
      <c r="C1" s="2" t="s">
        <v>2</v>
      </c>
      <c r="D1" s="2" t="s">
        <v>3</v>
      </c>
      <c r="E1" s="2" t="s">
        <v>4</v>
      </c>
      <c r="F1" s="2" t="s">
        <v>5</v>
      </c>
      <c r="G1" s="2" t="s">
        <v>6</v>
      </c>
      <c r="H1" s="2" t="s">
        <v>7</v>
      </c>
      <c r="I1" s="2" t="s">
        <v>8</v>
      </c>
      <c r="J1" s="2" t="s">
        <v>9</v>
      </c>
      <c r="K1" s="3" t="s">
        <v>10</v>
      </c>
    </row>
    <row r="2" customFormat="false" ht="84" hidden="false" customHeight="true" outlineLevel="0" collapsed="false">
      <c r="A2" s="4" t="s">
        <v>11</v>
      </c>
      <c r="B2" s="4" t="s">
        <v>12</v>
      </c>
      <c r="C2" s="4" t="s">
        <v>13</v>
      </c>
      <c r="D2" s="4" t="s">
        <v>14</v>
      </c>
      <c r="E2" s="4" t="s">
        <v>15</v>
      </c>
      <c r="F2" s="4" t="s">
        <v>16</v>
      </c>
      <c r="G2" s="4" t="s">
        <v>17</v>
      </c>
      <c r="H2" s="5" t="s">
        <v>18</v>
      </c>
      <c r="I2" s="6"/>
      <c r="J2" s="7" t="n">
        <f aca="false">INT((ROW()-2)/50)+1</f>
        <v>1</v>
      </c>
      <c r="K2" s="7" t="str">
        <f aca="false">IF(H2="","Pending",IF(OR(H2="0",H2="1",H2="2",H2="U"),"Complete","Invalid"))</f>
        <v>Complete</v>
      </c>
    </row>
    <row r="3" customFormat="false" ht="84" hidden="false" customHeight="true" outlineLevel="0" collapsed="false">
      <c r="A3" s="8" t="s">
        <v>19</v>
      </c>
      <c r="B3" s="8" t="s">
        <v>20</v>
      </c>
      <c r="C3" s="8" t="s">
        <v>21</v>
      </c>
      <c r="D3" s="8" t="s">
        <v>22</v>
      </c>
      <c r="E3" s="8" t="s">
        <v>23</v>
      </c>
      <c r="F3" s="8" t="s">
        <v>24</v>
      </c>
      <c r="G3" s="8" t="s">
        <v>25</v>
      </c>
      <c r="H3" s="9" t="s">
        <v>18</v>
      </c>
      <c r="I3" s="10"/>
      <c r="J3" s="11" t="n">
        <f aca="false">INT((ROW()-2)/50)+1</f>
        <v>1</v>
      </c>
      <c r="K3" s="11" t="str">
        <f aca="false">IF(H3="","Pending",IF(OR(H3="0",H3="1",H3="2",H3="U"),"Complete","Invalid"))</f>
        <v>Complete</v>
      </c>
    </row>
    <row r="4" customFormat="false" ht="84" hidden="false" customHeight="true" outlineLevel="0" collapsed="false">
      <c r="A4" s="8" t="s">
        <v>26</v>
      </c>
      <c r="B4" s="8" t="s">
        <v>27</v>
      </c>
      <c r="C4" s="8" t="s">
        <v>28</v>
      </c>
      <c r="D4" s="8" t="s">
        <v>29</v>
      </c>
      <c r="E4" s="8" t="s">
        <v>30</v>
      </c>
      <c r="F4" s="8" t="s">
        <v>31</v>
      </c>
      <c r="G4" s="8" t="s">
        <v>32</v>
      </c>
      <c r="H4" s="9" t="s">
        <v>18</v>
      </c>
      <c r="I4" s="10"/>
      <c r="J4" s="11" t="n">
        <f aca="false">INT((ROW()-2)/50)+1</f>
        <v>1</v>
      </c>
      <c r="K4" s="11" t="str">
        <f aca="false">IF(H4="","Pending",IF(OR(H4="0",H4="1",H4="2",H4="U"),"Complete","Invalid"))</f>
        <v>Complete</v>
      </c>
    </row>
    <row r="5" customFormat="false" ht="84" hidden="false" customHeight="true" outlineLevel="0" collapsed="false">
      <c r="A5" s="8" t="s">
        <v>33</v>
      </c>
      <c r="B5" s="8" t="s">
        <v>34</v>
      </c>
      <c r="C5" s="8" t="s">
        <v>35</v>
      </c>
      <c r="D5" s="8" t="s">
        <v>36</v>
      </c>
      <c r="E5" s="8" t="s">
        <v>37</v>
      </c>
      <c r="F5" s="8" t="s">
        <v>38</v>
      </c>
      <c r="G5" s="8" t="s">
        <v>39</v>
      </c>
      <c r="H5" s="9" t="s">
        <v>18</v>
      </c>
      <c r="I5" s="10"/>
      <c r="J5" s="11" t="n">
        <f aca="false">INT((ROW()-2)/50)+1</f>
        <v>1</v>
      </c>
      <c r="K5" s="11" t="str">
        <f aca="false">IF(H5="","Pending",IF(OR(H5="0",H5="1",H5="2",H5="U"),"Complete","Invalid"))</f>
        <v>Complete</v>
      </c>
    </row>
    <row r="6" customFormat="false" ht="84" hidden="false" customHeight="true" outlineLevel="0" collapsed="false">
      <c r="A6" s="8" t="s">
        <v>40</v>
      </c>
      <c r="B6" s="8" t="s">
        <v>41</v>
      </c>
      <c r="C6" s="8" t="s">
        <v>42</v>
      </c>
      <c r="D6" s="8" t="s">
        <v>43</v>
      </c>
      <c r="E6" s="8" t="s">
        <v>15</v>
      </c>
      <c r="F6" s="8" t="s">
        <v>16</v>
      </c>
      <c r="G6" s="8" t="s">
        <v>17</v>
      </c>
      <c r="H6" s="9" t="s">
        <v>18</v>
      </c>
      <c r="I6" s="10"/>
      <c r="J6" s="11" t="n">
        <f aca="false">INT((ROW()-2)/50)+1</f>
        <v>1</v>
      </c>
      <c r="K6" s="11" t="str">
        <f aca="false">IF(H6="","Pending",IF(OR(H6="0",H6="1",H6="2",H6="U"),"Complete","Invalid"))</f>
        <v>Complete</v>
      </c>
    </row>
    <row r="7" customFormat="false" ht="84" hidden="false" customHeight="true" outlineLevel="0" collapsed="false">
      <c r="A7" s="8" t="s">
        <v>44</v>
      </c>
      <c r="B7" s="8" t="s">
        <v>45</v>
      </c>
      <c r="C7" s="8" t="s">
        <v>46</v>
      </c>
      <c r="D7" s="8" t="s">
        <v>47</v>
      </c>
      <c r="E7" s="8" t="s">
        <v>48</v>
      </c>
      <c r="F7" s="8" t="s">
        <v>24</v>
      </c>
      <c r="G7" s="8" t="s">
        <v>49</v>
      </c>
      <c r="H7" s="9" t="s">
        <v>18</v>
      </c>
      <c r="I7" s="10"/>
      <c r="J7" s="11" t="n">
        <f aca="false">INT((ROW()-2)/50)+1</f>
        <v>1</v>
      </c>
      <c r="K7" s="11" t="str">
        <f aca="false">IF(H7="","Pending",IF(OR(H7="0",H7="1",H7="2",H7="U"),"Complete","Invalid"))</f>
        <v>Complete</v>
      </c>
    </row>
    <row r="8" customFormat="false" ht="84" hidden="false" customHeight="true" outlineLevel="0" collapsed="false">
      <c r="A8" s="8" t="s">
        <v>50</v>
      </c>
      <c r="B8" s="8" t="s">
        <v>51</v>
      </c>
      <c r="C8" s="8" t="s">
        <v>52</v>
      </c>
      <c r="D8" s="8" t="s">
        <v>53</v>
      </c>
      <c r="E8" s="8" t="s">
        <v>54</v>
      </c>
      <c r="F8" s="8" t="s">
        <v>55</v>
      </c>
      <c r="G8" s="8" t="s">
        <v>56</v>
      </c>
      <c r="H8" s="9" t="s">
        <v>18</v>
      </c>
      <c r="I8" s="10"/>
      <c r="J8" s="11" t="n">
        <f aca="false">INT((ROW()-2)/50)+1</f>
        <v>1</v>
      </c>
      <c r="K8" s="11" t="str">
        <f aca="false">IF(H8="","Pending",IF(OR(H8="0",H8="1",H8="2",H8="U"),"Complete","Invalid"))</f>
        <v>Complete</v>
      </c>
    </row>
    <row r="9" customFormat="false" ht="84" hidden="false" customHeight="true" outlineLevel="0" collapsed="false">
      <c r="A9" s="8" t="s">
        <v>57</v>
      </c>
      <c r="B9" s="8" t="s">
        <v>58</v>
      </c>
      <c r="C9" s="8" t="s">
        <v>59</v>
      </c>
      <c r="D9" s="8" t="s">
        <v>60</v>
      </c>
      <c r="E9" s="8" t="s">
        <v>61</v>
      </c>
      <c r="F9" s="8" t="s">
        <v>62</v>
      </c>
      <c r="G9" s="8" t="s">
        <v>63</v>
      </c>
      <c r="H9" s="9" t="s">
        <v>18</v>
      </c>
      <c r="I9" s="10"/>
      <c r="J9" s="11" t="n">
        <f aca="false">INT((ROW()-2)/50)+1</f>
        <v>1</v>
      </c>
      <c r="K9" s="11" t="str">
        <f aca="false">IF(H9="","Pending",IF(OR(H9="0",H9="1",H9="2",H9="U"),"Complete","Invalid"))</f>
        <v>Complete</v>
      </c>
    </row>
    <row r="10" customFormat="false" ht="84" hidden="false" customHeight="true" outlineLevel="0" collapsed="false">
      <c r="A10" s="8" t="s">
        <v>64</v>
      </c>
      <c r="B10" s="8" t="s">
        <v>41</v>
      </c>
      <c r="C10" s="8" t="s">
        <v>42</v>
      </c>
      <c r="D10" s="8" t="s">
        <v>43</v>
      </c>
      <c r="E10" s="8" t="s">
        <v>65</v>
      </c>
      <c r="F10" s="8" t="s">
        <v>66</v>
      </c>
      <c r="G10" s="8" t="s">
        <v>67</v>
      </c>
      <c r="H10" s="9" t="s">
        <v>18</v>
      </c>
      <c r="I10" s="10"/>
      <c r="J10" s="11" t="n">
        <f aca="false">INT((ROW()-2)/50)+1</f>
        <v>1</v>
      </c>
      <c r="K10" s="11" t="str">
        <f aca="false">IF(H10="","Pending",IF(OR(H10="0",H10="1",H10="2",H10="U"),"Complete","Invalid"))</f>
        <v>Complete</v>
      </c>
    </row>
    <row r="11" customFormat="false" ht="84" hidden="false" customHeight="true" outlineLevel="0" collapsed="false">
      <c r="A11" s="8" t="s">
        <v>68</v>
      </c>
      <c r="B11" s="8" t="s">
        <v>69</v>
      </c>
      <c r="C11" s="8" t="s">
        <v>70</v>
      </c>
      <c r="D11" s="8" t="s">
        <v>71</v>
      </c>
      <c r="E11" s="8" t="s">
        <v>72</v>
      </c>
      <c r="F11" s="8" t="s">
        <v>73</v>
      </c>
      <c r="G11" s="8" t="s">
        <v>74</v>
      </c>
      <c r="H11" s="9" t="s">
        <v>18</v>
      </c>
      <c r="I11" s="10"/>
      <c r="J11" s="11" t="n">
        <f aca="false">INT((ROW()-2)/50)+1</f>
        <v>1</v>
      </c>
      <c r="K11" s="11" t="str">
        <f aca="false">IF(H11="","Pending",IF(OR(H11="0",H11="1",H11="2",H11="U"),"Complete","Invalid"))</f>
        <v>Complete</v>
      </c>
    </row>
    <row r="12" customFormat="false" ht="84" hidden="false" customHeight="true" outlineLevel="0" collapsed="false">
      <c r="A12" s="8" t="s">
        <v>75</v>
      </c>
      <c r="B12" s="8" t="s">
        <v>76</v>
      </c>
      <c r="C12" s="8" t="s">
        <v>77</v>
      </c>
      <c r="D12" s="8" t="s">
        <v>78</v>
      </c>
      <c r="E12" s="8" t="s">
        <v>65</v>
      </c>
      <c r="F12" s="8" t="s">
        <v>66</v>
      </c>
      <c r="G12" s="8" t="s">
        <v>67</v>
      </c>
      <c r="H12" s="9" t="s">
        <v>18</v>
      </c>
      <c r="I12" s="10"/>
      <c r="J12" s="11" t="n">
        <f aca="false">INT((ROW()-2)/50)+1</f>
        <v>1</v>
      </c>
      <c r="K12" s="11" t="str">
        <f aca="false">IF(H12="","Pending",IF(OR(H12="0",H12="1",H12="2",H12="U"),"Complete","Invalid"))</f>
        <v>Complete</v>
      </c>
    </row>
    <row r="13" customFormat="false" ht="84" hidden="false" customHeight="true" outlineLevel="0" collapsed="false">
      <c r="A13" s="8" t="s">
        <v>79</v>
      </c>
      <c r="B13" s="8" t="s">
        <v>80</v>
      </c>
      <c r="C13" s="8" t="s">
        <v>81</v>
      </c>
      <c r="D13" s="8" t="s">
        <v>82</v>
      </c>
      <c r="E13" s="8" t="s">
        <v>83</v>
      </c>
      <c r="F13" s="8" t="s">
        <v>84</v>
      </c>
      <c r="G13" s="8" t="s">
        <v>85</v>
      </c>
      <c r="H13" s="9" t="s">
        <v>18</v>
      </c>
      <c r="I13" s="10"/>
      <c r="J13" s="11" t="n">
        <f aca="false">INT((ROW()-2)/50)+1</f>
        <v>1</v>
      </c>
      <c r="K13" s="11" t="str">
        <f aca="false">IF(H13="","Pending",IF(OR(H13="0",H13="1",H13="2",H13="U"),"Complete","Invalid"))</f>
        <v>Complete</v>
      </c>
    </row>
    <row r="14" customFormat="false" ht="84" hidden="false" customHeight="true" outlineLevel="0" collapsed="false">
      <c r="A14" s="8" t="s">
        <v>86</v>
      </c>
      <c r="B14" s="8" t="s">
        <v>80</v>
      </c>
      <c r="C14" s="8" t="s">
        <v>81</v>
      </c>
      <c r="D14" s="8" t="s">
        <v>82</v>
      </c>
      <c r="E14" s="8" t="s">
        <v>87</v>
      </c>
      <c r="F14" s="8" t="s">
        <v>88</v>
      </c>
      <c r="G14" s="8" t="s">
        <v>89</v>
      </c>
      <c r="H14" s="9" t="s">
        <v>18</v>
      </c>
      <c r="I14" s="10"/>
      <c r="J14" s="11" t="n">
        <f aca="false">INT((ROW()-2)/50)+1</f>
        <v>1</v>
      </c>
      <c r="K14" s="11" t="str">
        <f aca="false">IF(H14="","Pending",IF(OR(H14="0",H14="1",H14="2",H14="U"),"Complete","Invalid"))</f>
        <v>Complete</v>
      </c>
    </row>
    <row r="15" customFormat="false" ht="84" hidden="false" customHeight="true" outlineLevel="0" collapsed="false">
      <c r="A15" s="8" t="s">
        <v>90</v>
      </c>
      <c r="B15" s="8" t="s">
        <v>91</v>
      </c>
      <c r="C15" s="8" t="s">
        <v>92</v>
      </c>
      <c r="D15" s="8" t="s">
        <v>93</v>
      </c>
      <c r="E15" s="8" t="s">
        <v>94</v>
      </c>
      <c r="F15" s="8" t="s">
        <v>95</v>
      </c>
      <c r="G15" s="8" t="s">
        <v>96</v>
      </c>
      <c r="H15" s="9" t="s">
        <v>18</v>
      </c>
      <c r="I15" s="10"/>
      <c r="J15" s="11" t="n">
        <f aca="false">INT((ROW()-2)/50)+1</f>
        <v>1</v>
      </c>
      <c r="K15" s="11" t="str">
        <f aca="false">IF(H15="","Pending",IF(OR(H15="0",H15="1",H15="2",H15="U"),"Complete","Invalid"))</f>
        <v>Complete</v>
      </c>
    </row>
    <row r="16" customFormat="false" ht="84" hidden="false" customHeight="true" outlineLevel="0" collapsed="false">
      <c r="A16" s="8" t="s">
        <v>97</v>
      </c>
      <c r="B16" s="8" t="s">
        <v>98</v>
      </c>
      <c r="C16" s="8" t="s">
        <v>99</v>
      </c>
      <c r="D16" s="8" t="s">
        <v>100</v>
      </c>
      <c r="E16" s="8" t="s">
        <v>65</v>
      </c>
      <c r="F16" s="8" t="s">
        <v>66</v>
      </c>
      <c r="G16" s="8" t="s">
        <v>67</v>
      </c>
      <c r="H16" s="9" t="s">
        <v>18</v>
      </c>
      <c r="I16" s="10"/>
      <c r="J16" s="11" t="n">
        <f aca="false">INT((ROW()-2)/50)+1</f>
        <v>1</v>
      </c>
      <c r="K16" s="11" t="str">
        <f aca="false">IF(H16="","Pending",IF(OR(H16="0",H16="1",H16="2",H16="U"),"Complete","Invalid"))</f>
        <v>Complete</v>
      </c>
    </row>
    <row r="17" customFormat="false" ht="84" hidden="false" customHeight="true" outlineLevel="0" collapsed="false">
      <c r="A17" s="8" t="s">
        <v>101</v>
      </c>
      <c r="B17" s="8" t="s">
        <v>91</v>
      </c>
      <c r="C17" s="8" t="s">
        <v>92</v>
      </c>
      <c r="D17" s="8" t="s">
        <v>93</v>
      </c>
      <c r="E17" s="8" t="s">
        <v>102</v>
      </c>
      <c r="F17" s="8" t="s">
        <v>66</v>
      </c>
      <c r="G17" s="8" t="s">
        <v>103</v>
      </c>
      <c r="H17" s="9" t="s">
        <v>18</v>
      </c>
      <c r="I17" s="10"/>
      <c r="J17" s="11" t="n">
        <f aca="false">INT((ROW()-2)/50)+1</f>
        <v>1</v>
      </c>
      <c r="K17" s="11" t="str">
        <f aca="false">IF(H17="","Pending",IF(OR(H17="0",H17="1",H17="2",H17="U"),"Complete","Invalid"))</f>
        <v>Complete</v>
      </c>
    </row>
    <row r="18" customFormat="false" ht="84" hidden="false" customHeight="true" outlineLevel="0" collapsed="false">
      <c r="A18" s="8" t="s">
        <v>104</v>
      </c>
      <c r="B18" s="8" t="s">
        <v>105</v>
      </c>
      <c r="C18" s="8" t="s">
        <v>106</v>
      </c>
      <c r="D18" s="8" t="s">
        <v>107</v>
      </c>
      <c r="E18" s="8" t="s">
        <v>108</v>
      </c>
      <c r="F18" s="8" t="s">
        <v>109</v>
      </c>
      <c r="G18" s="8" t="s">
        <v>110</v>
      </c>
      <c r="H18" s="9" t="s">
        <v>18</v>
      </c>
      <c r="I18" s="10"/>
      <c r="J18" s="11" t="n">
        <f aca="false">INT((ROW()-2)/50)+1</f>
        <v>1</v>
      </c>
      <c r="K18" s="11" t="str">
        <f aca="false">IF(H18="","Pending",IF(OR(H18="0",H18="1",H18="2",H18="U"),"Complete","Invalid"))</f>
        <v>Complete</v>
      </c>
    </row>
    <row r="19" customFormat="false" ht="84" hidden="false" customHeight="true" outlineLevel="0" collapsed="false">
      <c r="A19" s="8" t="s">
        <v>111</v>
      </c>
      <c r="B19" s="8" t="s">
        <v>91</v>
      </c>
      <c r="C19" s="8" t="s">
        <v>92</v>
      </c>
      <c r="D19" s="8" t="s">
        <v>93</v>
      </c>
      <c r="E19" s="8" t="s">
        <v>112</v>
      </c>
      <c r="F19" s="8" t="s">
        <v>88</v>
      </c>
      <c r="G19" s="8" t="s">
        <v>113</v>
      </c>
      <c r="H19" s="9" t="s">
        <v>114</v>
      </c>
      <c r="I19" s="10"/>
      <c r="J19" s="11" t="n">
        <f aca="false">INT((ROW()-2)/50)+1</f>
        <v>1</v>
      </c>
      <c r="K19" s="11" t="str">
        <f aca="false">IF(H19="","Pending",IF(OR(H19="0",H19="1",H19="2",H19="U"),"Complete","Invalid"))</f>
        <v>Complete</v>
      </c>
    </row>
    <row r="20" customFormat="false" ht="84" hidden="false" customHeight="true" outlineLevel="0" collapsed="false">
      <c r="A20" s="8" t="s">
        <v>115</v>
      </c>
      <c r="B20" s="8" t="s">
        <v>27</v>
      </c>
      <c r="C20" s="8" t="s">
        <v>28</v>
      </c>
      <c r="D20" s="8" t="s">
        <v>29</v>
      </c>
      <c r="E20" s="8" t="s">
        <v>116</v>
      </c>
      <c r="F20" s="8" t="s">
        <v>117</v>
      </c>
      <c r="G20" s="8" t="s">
        <v>118</v>
      </c>
      <c r="H20" s="9" t="s">
        <v>18</v>
      </c>
      <c r="I20" s="10"/>
      <c r="J20" s="11" t="n">
        <f aca="false">INT((ROW()-2)/50)+1</f>
        <v>1</v>
      </c>
      <c r="K20" s="11" t="str">
        <f aca="false">IF(H20="","Pending",IF(OR(H20="0",H20="1",H20="2",H20="U"),"Complete","Invalid"))</f>
        <v>Complete</v>
      </c>
    </row>
    <row r="21" customFormat="false" ht="84" hidden="false" customHeight="true" outlineLevel="0" collapsed="false">
      <c r="A21" s="8" t="s">
        <v>119</v>
      </c>
      <c r="B21" s="8" t="s">
        <v>98</v>
      </c>
      <c r="C21" s="8" t="s">
        <v>99</v>
      </c>
      <c r="D21" s="8" t="s">
        <v>100</v>
      </c>
      <c r="E21" s="8" t="s">
        <v>120</v>
      </c>
      <c r="F21" s="8" t="s">
        <v>31</v>
      </c>
      <c r="G21" s="8" t="s">
        <v>121</v>
      </c>
      <c r="H21" s="9" t="s">
        <v>18</v>
      </c>
      <c r="I21" s="10"/>
      <c r="J21" s="11" t="n">
        <f aca="false">INT((ROW()-2)/50)+1</f>
        <v>1</v>
      </c>
      <c r="K21" s="11" t="str">
        <f aca="false">IF(H21="","Pending",IF(OR(H21="0",H21="1",H21="2",H21="U"),"Complete","Invalid"))</f>
        <v>Complete</v>
      </c>
    </row>
    <row r="22" customFormat="false" ht="84" hidden="false" customHeight="true" outlineLevel="0" collapsed="false">
      <c r="A22" s="8" t="s">
        <v>122</v>
      </c>
      <c r="B22" s="8" t="s">
        <v>123</v>
      </c>
      <c r="C22" s="8" t="s">
        <v>124</v>
      </c>
      <c r="D22" s="8" t="s">
        <v>125</v>
      </c>
      <c r="E22" s="8" t="s">
        <v>126</v>
      </c>
      <c r="F22" s="8" t="s">
        <v>73</v>
      </c>
      <c r="G22" s="8" t="s">
        <v>127</v>
      </c>
      <c r="H22" s="9" t="s">
        <v>18</v>
      </c>
      <c r="I22" s="10"/>
      <c r="J22" s="11" t="n">
        <f aca="false">INT((ROW()-2)/50)+1</f>
        <v>1</v>
      </c>
      <c r="K22" s="11" t="str">
        <f aca="false">IF(H22="","Pending",IF(OR(H22="0",H22="1",H22="2",H22="U"),"Complete","Invalid"))</f>
        <v>Complete</v>
      </c>
    </row>
    <row r="23" customFormat="false" ht="84" hidden="false" customHeight="true" outlineLevel="0" collapsed="false">
      <c r="A23" s="8" t="s">
        <v>128</v>
      </c>
      <c r="B23" s="8" t="s">
        <v>129</v>
      </c>
      <c r="C23" s="8" t="s">
        <v>130</v>
      </c>
      <c r="D23" s="8" t="s">
        <v>131</v>
      </c>
      <c r="E23" s="8" t="s">
        <v>15</v>
      </c>
      <c r="F23" s="8" t="s">
        <v>16</v>
      </c>
      <c r="G23" s="8" t="s">
        <v>17</v>
      </c>
      <c r="H23" s="9" t="s">
        <v>132</v>
      </c>
      <c r="I23" s="10"/>
      <c r="J23" s="11" t="n">
        <f aca="false">INT((ROW()-2)/50)+1</f>
        <v>1</v>
      </c>
      <c r="K23" s="11" t="str">
        <f aca="false">IF(H23="","Pending",IF(OR(H23="0",H23="1",H23="2",H23="U"),"Complete","Invalid"))</f>
        <v>Complete</v>
      </c>
    </row>
    <row r="24" customFormat="false" ht="84" hidden="false" customHeight="true" outlineLevel="0" collapsed="false">
      <c r="A24" s="8" t="s">
        <v>133</v>
      </c>
      <c r="B24" s="8" t="s">
        <v>134</v>
      </c>
      <c r="C24" s="8" t="s">
        <v>135</v>
      </c>
      <c r="D24" s="8" t="s">
        <v>136</v>
      </c>
      <c r="E24" s="8" t="s">
        <v>137</v>
      </c>
      <c r="F24" s="8" t="s">
        <v>138</v>
      </c>
      <c r="G24" s="8" t="s">
        <v>139</v>
      </c>
      <c r="H24" s="9" t="s">
        <v>18</v>
      </c>
      <c r="I24" s="10"/>
      <c r="J24" s="11" t="n">
        <f aca="false">INT((ROW()-2)/50)+1</f>
        <v>1</v>
      </c>
      <c r="K24" s="11" t="str">
        <f aca="false">IF(H24="","Pending",IF(OR(H24="0",H24="1",H24="2",H24="U"),"Complete","Invalid"))</f>
        <v>Complete</v>
      </c>
    </row>
    <row r="25" customFormat="false" ht="84" hidden="false" customHeight="true" outlineLevel="0" collapsed="false">
      <c r="A25" s="8" t="s">
        <v>140</v>
      </c>
      <c r="B25" s="8" t="s">
        <v>105</v>
      </c>
      <c r="C25" s="8" t="s">
        <v>106</v>
      </c>
      <c r="D25" s="8" t="s">
        <v>107</v>
      </c>
      <c r="E25" s="8" t="s">
        <v>141</v>
      </c>
      <c r="F25" s="8" t="s">
        <v>142</v>
      </c>
      <c r="G25" s="8" t="s">
        <v>143</v>
      </c>
      <c r="H25" s="9" t="s">
        <v>18</v>
      </c>
      <c r="I25" s="10"/>
      <c r="J25" s="11" t="n">
        <f aca="false">INT((ROW()-2)/50)+1</f>
        <v>1</v>
      </c>
      <c r="K25" s="11" t="str">
        <f aca="false">IF(H25="","Pending",IF(OR(H25="0",H25="1",H25="2",H25="U"),"Complete","Invalid"))</f>
        <v>Complete</v>
      </c>
    </row>
    <row r="26" customFormat="false" ht="84" hidden="false" customHeight="true" outlineLevel="0" collapsed="false">
      <c r="A26" s="8" t="s">
        <v>144</v>
      </c>
      <c r="B26" s="8" t="s">
        <v>34</v>
      </c>
      <c r="C26" s="8" t="s">
        <v>35</v>
      </c>
      <c r="D26" s="8" t="s">
        <v>36</v>
      </c>
      <c r="E26" s="8" t="s">
        <v>145</v>
      </c>
      <c r="F26" s="8" t="s">
        <v>95</v>
      </c>
      <c r="G26" s="8" t="s">
        <v>146</v>
      </c>
      <c r="H26" s="9" t="s">
        <v>18</v>
      </c>
      <c r="I26" s="10"/>
      <c r="J26" s="11" t="n">
        <f aca="false">INT((ROW()-2)/50)+1</f>
        <v>1</v>
      </c>
      <c r="K26" s="11" t="str">
        <f aca="false">IF(H26="","Pending",IF(OR(H26="0",H26="1",H26="2",H26="U"),"Complete","Invalid"))</f>
        <v>Complete</v>
      </c>
    </row>
    <row r="27" customFormat="false" ht="84" hidden="false" customHeight="true" outlineLevel="0" collapsed="false">
      <c r="A27" s="8" t="s">
        <v>147</v>
      </c>
      <c r="B27" s="8" t="s">
        <v>148</v>
      </c>
      <c r="C27" s="8" t="s">
        <v>149</v>
      </c>
      <c r="D27" s="8" t="s">
        <v>150</v>
      </c>
      <c r="E27" s="8" t="s">
        <v>151</v>
      </c>
      <c r="F27" s="8" t="s">
        <v>88</v>
      </c>
      <c r="G27" s="8" t="s">
        <v>152</v>
      </c>
      <c r="H27" s="9" t="s">
        <v>18</v>
      </c>
      <c r="I27" s="10" t="s">
        <v>153</v>
      </c>
      <c r="J27" s="11" t="n">
        <f aca="false">INT((ROW()-2)/50)+1</f>
        <v>1</v>
      </c>
      <c r="K27" s="11" t="str">
        <f aca="false">IF(H27="","Pending",IF(OR(H27="0",H27="1",H27="2",H27="U"),"Complete","Invalid"))</f>
        <v>Complete</v>
      </c>
    </row>
    <row r="28" customFormat="false" ht="84" hidden="false" customHeight="true" outlineLevel="0" collapsed="false">
      <c r="A28" s="8" t="s">
        <v>154</v>
      </c>
      <c r="B28" s="8" t="s">
        <v>155</v>
      </c>
      <c r="C28" s="8" t="s">
        <v>156</v>
      </c>
      <c r="D28" s="8" t="s">
        <v>157</v>
      </c>
      <c r="E28" s="8" t="s">
        <v>158</v>
      </c>
      <c r="F28" s="8" t="s">
        <v>38</v>
      </c>
      <c r="G28" s="8" t="s">
        <v>159</v>
      </c>
      <c r="H28" s="9" t="s">
        <v>18</v>
      </c>
      <c r="I28" s="10"/>
      <c r="J28" s="11" t="n">
        <f aca="false">INT((ROW()-2)/50)+1</f>
        <v>1</v>
      </c>
      <c r="K28" s="11" t="str">
        <f aca="false">IF(H28="","Pending",IF(OR(H28="0",H28="1",H28="2",H28="U"),"Complete","Invalid"))</f>
        <v>Complete</v>
      </c>
    </row>
    <row r="29" customFormat="false" ht="84" hidden="false" customHeight="true" outlineLevel="0" collapsed="false">
      <c r="A29" s="8" t="s">
        <v>160</v>
      </c>
      <c r="B29" s="8" t="s">
        <v>12</v>
      </c>
      <c r="C29" s="8" t="s">
        <v>13</v>
      </c>
      <c r="D29" s="8" t="s">
        <v>14</v>
      </c>
      <c r="E29" s="8" t="s">
        <v>161</v>
      </c>
      <c r="F29" s="8" t="s">
        <v>117</v>
      </c>
      <c r="G29" s="8" t="s">
        <v>162</v>
      </c>
      <c r="H29" s="9" t="s">
        <v>18</v>
      </c>
      <c r="I29" s="10"/>
      <c r="J29" s="11" t="n">
        <f aca="false">INT((ROW()-2)/50)+1</f>
        <v>1</v>
      </c>
      <c r="K29" s="11" t="str">
        <f aca="false">IF(H29="","Pending",IF(OR(H29="0",H29="1",H29="2",H29="U"),"Complete","Invalid"))</f>
        <v>Complete</v>
      </c>
    </row>
    <row r="30" customFormat="false" ht="84" hidden="false" customHeight="true" outlineLevel="0" collapsed="false">
      <c r="A30" s="8" t="s">
        <v>163</v>
      </c>
      <c r="B30" s="8" t="s">
        <v>105</v>
      </c>
      <c r="C30" s="8" t="s">
        <v>106</v>
      </c>
      <c r="D30" s="8" t="s">
        <v>107</v>
      </c>
      <c r="E30" s="8" t="s">
        <v>164</v>
      </c>
      <c r="F30" s="8" t="s">
        <v>73</v>
      </c>
      <c r="G30" s="8" t="s">
        <v>165</v>
      </c>
      <c r="H30" s="9" t="s">
        <v>18</v>
      </c>
      <c r="I30" s="10"/>
      <c r="J30" s="11" t="n">
        <f aca="false">INT((ROW()-2)/50)+1</f>
        <v>1</v>
      </c>
      <c r="K30" s="11" t="str">
        <f aca="false">IF(H30="","Pending",IF(OR(H30="0",H30="1",H30="2",H30="U"),"Complete","Invalid"))</f>
        <v>Complete</v>
      </c>
    </row>
    <row r="31" customFormat="false" ht="84" hidden="false" customHeight="true" outlineLevel="0" collapsed="false">
      <c r="A31" s="8" t="s">
        <v>166</v>
      </c>
      <c r="B31" s="8" t="s">
        <v>167</v>
      </c>
      <c r="C31" s="8" t="s">
        <v>168</v>
      </c>
      <c r="D31" s="8" t="s">
        <v>169</v>
      </c>
      <c r="E31" s="8" t="s">
        <v>141</v>
      </c>
      <c r="F31" s="8" t="s">
        <v>142</v>
      </c>
      <c r="G31" s="8" t="s">
        <v>143</v>
      </c>
      <c r="H31" s="9" t="s">
        <v>114</v>
      </c>
      <c r="I31" s="10"/>
      <c r="J31" s="11" t="n">
        <f aca="false">INT((ROW()-2)/50)+1</f>
        <v>1</v>
      </c>
      <c r="K31" s="11" t="str">
        <f aca="false">IF(H31="","Pending",IF(OR(H31="0",H31="1",H31="2",H31="U"),"Complete","Invalid"))</f>
        <v>Complete</v>
      </c>
    </row>
    <row r="32" customFormat="false" ht="84" hidden="false" customHeight="true" outlineLevel="0" collapsed="false">
      <c r="A32" s="8" t="s">
        <v>170</v>
      </c>
      <c r="B32" s="8" t="s">
        <v>171</v>
      </c>
      <c r="C32" s="8" t="s">
        <v>172</v>
      </c>
      <c r="D32" s="8" t="s">
        <v>173</v>
      </c>
      <c r="E32" s="8" t="s">
        <v>174</v>
      </c>
      <c r="F32" s="8" t="s">
        <v>16</v>
      </c>
      <c r="G32" s="8" t="s">
        <v>175</v>
      </c>
      <c r="H32" s="9" t="s">
        <v>18</v>
      </c>
      <c r="I32" s="10"/>
      <c r="J32" s="11" t="n">
        <f aca="false">INT((ROW()-2)/50)+1</f>
        <v>1</v>
      </c>
      <c r="K32" s="11" t="str">
        <f aca="false">IF(H32="","Pending",IF(OR(H32="0",H32="1",H32="2",H32="U"),"Complete","Invalid"))</f>
        <v>Complete</v>
      </c>
    </row>
    <row r="33" customFormat="false" ht="84" hidden="false" customHeight="true" outlineLevel="0" collapsed="false">
      <c r="A33" s="8" t="s">
        <v>176</v>
      </c>
      <c r="B33" s="8" t="s">
        <v>20</v>
      </c>
      <c r="C33" s="8" t="s">
        <v>21</v>
      </c>
      <c r="D33" s="8" t="s">
        <v>22</v>
      </c>
      <c r="E33" s="8" t="s">
        <v>65</v>
      </c>
      <c r="F33" s="8" t="s">
        <v>66</v>
      </c>
      <c r="G33" s="8" t="s">
        <v>67</v>
      </c>
      <c r="H33" s="9" t="s">
        <v>18</v>
      </c>
      <c r="I33" s="10"/>
      <c r="J33" s="11" t="n">
        <f aca="false">INT((ROW()-2)/50)+1</f>
        <v>1</v>
      </c>
      <c r="K33" s="11" t="str">
        <f aca="false">IF(H33="","Pending",IF(OR(H33="0",H33="1",H33="2",H33="U"),"Complete","Invalid"))</f>
        <v>Complete</v>
      </c>
    </row>
    <row r="34" customFormat="false" ht="84" hidden="false" customHeight="true" outlineLevel="0" collapsed="false">
      <c r="A34" s="8" t="s">
        <v>177</v>
      </c>
      <c r="B34" s="8" t="s">
        <v>51</v>
      </c>
      <c r="C34" s="8" t="s">
        <v>52</v>
      </c>
      <c r="D34" s="8" t="s">
        <v>53</v>
      </c>
      <c r="E34" s="8" t="s">
        <v>65</v>
      </c>
      <c r="F34" s="8" t="s">
        <v>66</v>
      </c>
      <c r="G34" s="8" t="s">
        <v>67</v>
      </c>
      <c r="H34" s="9" t="s">
        <v>18</v>
      </c>
      <c r="I34" s="10"/>
      <c r="J34" s="11" t="n">
        <f aca="false">INT((ROW()-2)/50)+1</f>
        <v>1</v>
      </c>
      <c r="K34" s="11" t="str">
        <f aca="false">IF(H34="","Pending",IF(OR(H34="0",H34="1",H34="2",H34="U"),"Complete","Invalid"))</f>
        <v>Complete</v>
      </c>
    </row>
    <row r="35" customFormat="false" ht="84" hidden="false" customHeight="true" outlineLevel="0" collapsed="false">
      <c r="A35" s="8" t="s">
        <v>178</v>
      </c>
      <c r="B35" s="8" t="s">
        <v>41</v>
      </c>
      <c r="C35" s="8" t="s">
        <v>42</v>
      </c>
      <c r="D35" s="8" t="s">
        <v>43</v>
      </c>
      <c r="E35" s="8" t="s">
        <v>179</v>
      </c>
      <c r="F35" s="8" t="s">
        <v>66</v>
      </c>
      <c r="G35" s="8" t="s">
        <v>180</v>
      </c>
      <c r="H35" s="9" t="s">
        <v>18</v>
      </c>
      <c r="I35" s="10"/>
      <c r="J35" s="11" t="n">
        <f aca="false">INT((ROW()-2)/50)+1</f>
        <v>1</v>
      </c>
      <c r="K35" s="11" t="str">
        <f aca="false">IF(H35="","Pending",IF(OR(H35="0",H35="1",H35="2",H35="U"),"Complete","Invalid"))</f>
        <v>Complete</v>
      </c>
    </row>
    <row r="36" customFormat="false" ht="84" hidden="false" customHeight="true" outlineLevel="0" collapsed="false">
      <c r="A36" s="8" t="s">
        <v>181</v>
      </c>
      <c r="B36" s="8" t="s">
        <v>134</v>
      </c>
      <c r="C36" s="8" t="s">
        <v>135</v>
      </c>
      <c r="D36" s="8" t="s">
        <v>136</v>
      </c>
      <c r="E36" s="8" t="s">
        <v>182</v>
      </c>
      <c r="F36" s="8" t="s">
        <v>66</v>
      </c>
      <c r="G36" s="8" t="s">
        <v>183</v>
      </c>
      <c r="H36" s="9" t="s">
        <v>114</v>
      </c>
      <c r="I36" s="10"/>
      <c r="J36" s="11" t="n">
        <f aca="false">INT((ROW()-2)/50)+1</f>
        <v>1</v>
      </c>
      <c r="K36" s="11" t="str">
        <f aca="false">IF(H36="","Pending",IF(OR(H36="0",H36="1",H36="2",H36="U"),"Complete","Invalid"))</f>
        <v>Complete</v>
      </c>
    </row>
    <row r="37" customFormat="false" ht="84" hidden="false" customHeight="true" outlineLevel="0" collapsed="false">
      <c r="A37" s="8" t="s">
        <v>184</v>
      </c>
      <c r="B37" s="8" t="s">
        <v>45</v>
      </c>
      <c r="C37" s="8" t="s">
        <v>46</v>
      </c>
      <c r="D37" s="8" t="s">
        <v>47</v>
      </c>
      <c r="E37" s="8" t="s">
        <v>145</v>
      </c>
      <c r="F37" s="8" t="s">
        <v>95</v>
      </c>
      <c r="G37" s="8" t="s">
        <v>146</v>
      </c>
      <c r="H37" s="9" t="s">
        <v>18</v>
      </c>
      <c r="I37" s="10"/>
      <c r="J37" s="11" t="n">
        <f aca="false">INT((ROW()-2)/50)+1</f>
        <v>1</v>
      </c>
      <c r="K37" s="11" t="str">
        <f aca="false">IF(H37="","Pending",IF(OR(H37="0",H37="1",H37="2",H37="U"),"Complete","Invalid"))</f>
        <v>Complete</v>
      </c>
    </row>
    <row r="38" customFormat="false" ht="84" hidden="false" customHeight="true" outlineLevel="0" collapsed="false">
      <c r="A38" s="8" t="s">
        <v>185</v>
      </c>
      <c r="B38" s="8" t="s">
        <v>171</v>
      </c>
      <c r="C38" s="8" t="s">
        <v>172</v>
      </c>
      <c r="D38" s="8" t="s">
        <v>173</v>
      </c>
      <c r="E38" s="8" t="s">
        <v>186</v>
      </c>
      <c r="F38" s="8" t="s">
        <v>73</v>
      </c>
      <c r="G38" s="8" t="s">
        <v>187</v>
      </c>
      <c r="H38" s="9" t="s">
        <v>18</v>
      </c>
      <c r="I38" s="10"/>
      <c r="J38" s="11" t="n">
        <f aca="false">INT((ROW()-2)/50)+1</f>
        <v>1</v>
      </c>
      <c r="K38" s="11" t="str">
        <f aca="false">IF(H38="","Pending",IF(OR(H38="0",H38="1",H38="2",H38="U"),"Complete","Invalid"))</f>
        <v>Complete</v>
      </c>
    </row>
    <row r="39" customFormat="false" ht="84" hidden="false" customHeight="true" outlineLevel="0" collapsed="false">
      <c r="A39" s="8" t="s">
        <v>188</v>
      </c>
      <c r="B39" s="8" t="s">
        <v>189</v>
      </c>
      <c r="C39" s="8" t="s">
        <v>190</v>
      </c>
      <c r="D39" s="8" t="s">
        <v>191</v>
      </c>
      <c r="E39" s="8" t="s">
        <v>192</v>
      </c>
      <c r="F39" s="8" t="s">
        <v>38</v>
      </c>
      <c r="G39" s="8" t="s">
        <v>193</v>
      </c>
      <c r="H39" s="9" t="s">
        <v>18</v>
      </c>
      <c r="I39" s="10"/>
      <c r="J39" s="11" t="n">
        <f aca="false">INT((ROW()-2)/50)+1</f>
        <v>1</v>
      </c>
      <c r="K39" s="11" t="str">
        <f aca="false">IF(H39="","Pending",IF(OR(H39="0",H39="1",H39="2",H39="U"),"Complete","Invalid"))</f>
        <v>Complete</v>
      </c>
    </row>
    <row r="40" customFormat="false" ht="84" hidden="false" customHeight="true" outlineLevel="0" collapsed="false">
      <c r="A40" s="8" t="s">
        <v>194</v>
      </c>
      <c r="B40" s="8" t="s">
        <v>80</v>
      </c>
      <c r="C40" s="8" t="s">
        <v>81</v>
      </c>
      <c r="D40" s="8" t="s">
        <v>82</v>
      </c>
      <c r="E40" s="8" t="s">
        <v>195</v>
      </c>
      <c r="F40" s="8" t="s">
        <v>95</v>
      </c>
      <c r="G40" s="8" t="s">
        <v>196</v>
      </c>
      <c r="H40" s="9" t="s">
        <v>18</v>
      </c>
      <c r="I40" s="10"/>
      <c r="J40" s="11" t="n">
        <f aca="false">INT((ROW()-2)/50)+1</f>
        <v>1</v>
      </c>
      <c r="K40" s="11" t="str">
        <f aca="false">IF(H40="","Pending",IF(OR(H40="0",H40="1",H40="2",H40="U"),"Complete","Invalid"))</f>
        <v>Complete</v>
      </c>
    </row>
    <row r="41" customFormat="false" ht="84" hidden="false" customHeight="true" outlineLevel="0" collapsed="false">
      <c r="A41" s="8" t="s">
        <v>197</v>
      </c>
      <c r="B41" s="8" t="s">
        <v>198</v>
      </c>
      <c r="C41" s="8" t="s">
        <v>199</v>
      </c>
      <c r="D41" s="8" t="s">
        <v>200</v>
      </c>
      <c r="E41" s="8" t="s">
        <v>201</v>
      </c>
      <c r="F41" s="8" t="s">
        <v>202</v>
      </c>
      <c r="G41" s="8" t="s">
        <v>203</v>
      </c>
      <c r="H41" s="9" t="s">
        <v>18</v>
      </c>
      <c r="I41" s="10"/>
      <c r="J41" s="11" t="n">
        <f aca="false">INT((ROW()-2)/50)+1</f>
        <v>1</v>
      </c>
      <c r="K41" s="11" t="str">
        <f aca="false">IF(H41="","Pending",IF(OR(H41="0",H41="1",H41="2",H41="U"),"Complete","Invalid"))</f>
        <v>Complete</v>
      </c>
    </row>
    <row r="42" customFormat="false" ht="84" hidden="false" customHeight="true" outlineLevel="0" collapsed="false">
      <c r="A42" s="8" t="s">
        <v>204</v>
      </c>
      <c r="B42" s="8" t="s">
        <v>134</v>
      </c>
      <c r="C42" s="8" t="s">
        <v>135</v>
      </c>
      <c r="D42" s="8" t="s">
        <v>136</v>
      </c>
      <c r="E42" s="8" t="s">
        <v>205</v>
      </c>
      <c r="F42" s="8" t="s">
        <v>38</v>
      </c>
      <c r="G42" s="8" t="s">
        <v>206</v>
      </c>
      <c r="H42" s="9" t="s">
        <v>18</v>
      </c>
      <c r="I42" s="10"/>
      <c r="J42" s="11" t="n">
        <f aca="false">INT((ROW()-2)/50)+1</f>
        <v>1</v>
      </c>
      <c r="K42" s="11" t="str">
        <f aca="false">IF(H42="","Pending",IF(OR(H42="0",H42="1",H42="2",H42="U"),"Complete","Invalid"))</f>
        <v>Complete</v>
      </c>
    </row>
    <row r="43" customFormat="false" ht="84" hidden="false" customHeight="true" outlineLevel="0" collapsed="false">
      <c r="A43" s="8" t="s">
        <v>207</v>
      </c>
      <c r="B43" s="8" t="s">
        <v>45</v>
      </c>
      <c r="C43" s="8" t="s">
        <v>46</v>
      </c>
      <c r="D43" s="8" t="s">
        <v>47</v>
      </c>
      <c r="E43" s="8" t="s">
        <v>179</v>
      </c>
      <c r="F43" s="8" t="s">
        <v>66</v>
      </c>
      <c r="G43" s="8" t="s">
        <v>180</v>
      </c>
      <c r="H43" s="9" t="s">
        <v>114</v>
      </c>
      <c r="I43" s="10"/>
      <c r="J43" s="11" t="n">
        <f aca="false">INT((ROW()-2)/50)+1</f>
        <v>1</v>
      </c>
      <c r="K43" s="11" t="str">
        <f aca="false">IF(H43="","Pending",IF(OR(H43="0",H43="1",H43="2",H43="U"),"Complete","Invalid"))</f>
        <v>Complete</v>
      </c>
    </row>
    <row r="44" customFormat="false" ht="84" hidden="false" customHeight="true" outlineLevel="0" collapsed="false">
      <c r="A44" s="8" t="s">
        <v>208</v>
      </c>
      <c r="B44" s="8" t="s">
        <v>209</v>
      </c>
      <c r="C44" s="8" t="s">
        <v>210</v>
      </c>
      <c r="D44" s="8" t="s">
        <v>211</v>
      </c>
      <c r="E44" s="8" t="s">
        <v>212</v>
      </c>
      <c r="F44" s="8" t="s">
        <v>202</v>
      </c>
      <c r="G44" s="8" t="s">
        <v>213</v>
      </c>
      <c r="H44" s="9" t="s">
        <v>132</v>
      </c>
      <c r="I44" s="10"/>
      <c r="J44" s="11" t="n">
        <f aca="false">INT((ROW()-2)/50)+1</f>
        <v>1</v>
      </c>
      <c r="K44" s="11" t="str">
        <f aca="false">IF(H44="","Pending",IF(OR(H44="0",H44="1",H44="2",H44="U"),"Complete","Invalid"))</f>
        <v>Complete</v>
      </c>
    </row>
    <row r="45" customFormat="false" ht="84" hidden="false" customHeight="true" outlineLevel="0" collapsed="false">
      <c r="A45" s="8" t="s">
        <v>214</v>
      </c>
      <c r="B45" s="8" t="s">
        <v>69</v>
      </c>
      <c r="C45" s="8" t="s">
        <v>70</v>
      </c>
      <c r="D45" s="8" t="s">
        <v>71</v>
      </c>
      <c r="E45" s="8" t="s">
        <v>215</v>
      </c>
      <c r="F45" s="8" t="s">
        <v>216</v>
      </c>
      <c r="G45" s="8" t="s">
        <v>217</v>
      </c>
      <c r="H45" s="9" t="s">
        <v>114</v>
      </c>
      <c r="I45" s="10"/>
      <c r="J45" s="11" t="n">
        <f aca="false">INT((ROW()-2)/50)+1</f>
        <v>1</v>
      </c>
      <c r="K45" s="11" t="str">
        <f aca="false">IF(H45="","Pending",IF(OR(H45="0",H45="1",H45="2",H45="U"),"Complete","Invalid"))</f>
        <v>Complete</v>
      </c>
    </row>
    <row r="46" customFormat="false" ht="84" hidden="false" customHeight="true" outlineLevel="0" collapsed="false">
      <c r="A46" s="8" t="s">
        <v>218</v>
      </c>
      <c r="B46" s="8" t="s">
        <v>219</v>
      </c>
      <c r="C46" s="8" t="s">
        <v>220</v>
      </c>
      <c r="D46" s="8" t="s">
        <v>221</v>
      </c>
      <c r="E46" s="8" t="s">
        <v>48</v>
      </c>
      <c r="F46" s="8" t="s">
        <v>24</v>
      </c>
      <c r="G46" s="8" t="s">
        <v>49</v>
      </c>
      <c r="H46" s="9" t="s">
        <v>18</v>
      </c>
      <c r="I46" s="10"/>
      <c r="J46" s="11" t="n">
        <f aca="false">INT((ROW()-2)/50)+1</f>
        <v>1</v>
      </c>
      <c r="K46" s="11" t="str">
        <f aca="false">IF(H46="","Pending",IF(OR(H46="0",H46="1",H46="2",H46="U"),"Complete","Invalid"))</f>
        <v>Complete</v>
      </c>
    </row>
    <row r="47" customFormat="false" ht="84" hidden="false" customHeight="true" outlineLevel="0" collapsed="false">
      <c r="A47" s="8" t="s">
        <v>222</v>
      </c>
      <c r="B47" s="8" t="s">
        <v>223</v>
      </c>
      <c r="C47" s="8" t="s">
        <v>224</v>
      </c>
      <c r="D47" s="8" t="s">
        <v>225</v>
      </c>
      <c r="E47" s="8" t="s">
        <v>48</v>
      </c>
      <c r="F47" s="8" t="s">
        <v>24</v>
      </c>
      <c r="G47" s="8" t="s">
        <v>49</v>
      </c>
      <c r="H47" s="9" t="s">
        <v>18</v>
      </c>
      <c r="I47" s="10"/>
      <c r="J47" s="11" t="n">
        <f aca="false">INT((ROW()-2)/50)+1</f>
        <v>1</v>
      </c>
      <c r="K47" s="11" t="str">
        <f aca="false">IF(H47="","Pending",IF(OR(H47="0",H47="1",H47="2",H47="U"),"Complete","Invalid"))</f>
        <v>Complete</v>
      </c>
    </row>
    <row r="48" customFormat="false" ht="84" hidden="false" customHeight="true" outlineLevel="0" collapsed="false">
      <c r="A48" s="8" t="s">
        <v>226</v>
      </c>
      <c r="B48" s="8" t="s">
        <v>51</v>
      </c>
      <c r="C48" s="8" t="s">
        <v>52</v>
      </c>
      <c r="D48" s="8" t="s">
        <v>53</v>
      </c>
      <c r="E48" s="8" t="s">
        <v>227</v>
      </c>
      <c r="F48" s="8" t="s">
        <v>216</v>
      </c>
      <c r="G48" s="8" t="s">
        <v>228</v>
      </c>
      <c r="H48" s="9" t="s">
        <v>18</v>
      </c>
      <c r="I48" s="10"/>
      <c r="J48" s="11" t="n">
        <f aca="false">INT((ROW()-2)/50)+1</f>
        <v>1</v>
      </c>
      <c r="K48" s="11" t="str">
        <f aca="false">IF(H48="","Pending",IF(OR(H48="0",H48="1",H48="2",H48="U"),"Complete","Invalid"))</f>
        <v>Complete</v>
      </c>
    </row>
    <row r="49" customFormat="false" ht="84" hidden="false" customHeight="true" outlineLevel="0" collapsed="false">
      <c r="A49" s="8" t="s">
        <v>229</v>
      </c>
      <c r="B49" s="8" t="s">
        <v>123</v>
      </c>
      <c r="C49" s="8" t="s">
        <v>124</v>
      </c>
      <c r="D49" s="8" t="s">
        <v>125</v>
      </c>
      <c r="E49" s="8" t="s">
        <v>145</v>
      </c>
      <c r="F49" s="8" t="s">
        <v>95</v>
      </c>
      <c r="G49" s="8" t="s">
        <v>146</v>
      </c>
      <c r="H49" s="9" t="s">
        <v>18</v>
      </c>
      <c r="I49" s="10"/>
      <c r="J49" s="11" t="n">
        <f aca="false">INT((ROW()-2)/50)+1</f>
        <v>1</v>
      </c>
      <c r="K49" s="11" t="str">
        <f aca="false">IF(H49="","Pending",IF(OR(H49="0",H49="1",H49="2",H49="U"),"Complete","Invalid"))</f>
        <v>Complete</v>
      </c>
    </row>
    <row r="50" customFormat="false" ht="84" hidden="false" customHeight="true" outlineLevel="0" collapsed="false">
      <c r="A50" s="8" t="s">
        <v>230</v>
      </c>
      <c r="B50" s="8" t="s">
        <v>129</v>
      </c>
      <c r="C50" s="8" t="s">
        <v>130</v>
      </c>
      <c r="D50" s="8" t="s">
        <v>131</v>
      </c>
      <c r="E50" s="8" t="s">
        <v>126</v>
      </c>
      <c r="F50" s="8" t="s">
        <v>73</v>
      </c>
      <c r="G50" s="8" t="s">
        <v>127</v>
      </c>
      <c r="H50" s="9" t="s">
        <v>18</v>
      </c>
      <c r="I50" s="10"/>
      <c r="J50" s="11" t="n">
        <f aca="false">INT((ROW()-2)/50)+1</f>
        <v>1</v>
      </c>
      <c r="K50" s="11" t="str">
        <f aca="false">IF(H50="","Pending",IF(OR(H50="0",H50="1",H50="2",H50="U"),"Complete","Invalid"))</f>
        <v>Complete</v>
      </c>
    </row>
    <row r="51" customFormat="false" ht="84" hidden="false" customHeight="true" outlineLevel="0" collapsed="false">
      <c r="A51" s="8" t="s">
        <v>231</v>
      </c>
      <c r="B51" s="8" t="s">
        <v>232</v>
      </c>
      <c r="C51" s="8" t="s">
        <v>233</v>
      </c>
      <c r="D51" s="8" t="s">
        <v>234</v>
      </c>
      <c r="E51" s="8" t="s">
        <v>235</v>
      </c>
      <c r="F51" s="8" t="s">
        <v>16</v>
      </c>
      <c r="G51" s="8" t="s">
        <v>236</v>
      </c>
      <c r="H51" s="9" t="s">
        <v>18</v>
      </c>
      <c r="I51" s="10"/>
      <c r="J51" s="11" t="n">
        <f aca="false">INT((ROW()-2)/50)+1</f>
        <v>1</v>
      </c>
      <c r="K51" s="11" t="str">
        <f aca="false">IF(H51="","Pending",IF(OR(H51="0",H51="1",H51="2",H51="U"),"Complete","Invalid"))</f>
        <v>Complete</v>
      </c>
    </row>
    <row r="52" customFormat="false" ht="84" hidden="false" customHeight="true" outlineLevel="0" collapsed="false">
      <c r="A52" s="8" t="s">
        <v>237</v>
      </c>
      <c r="B52" s="8" t="s">
        <v>238</v>
      </c>
      <c r="C52" s="8" t="s">
        <v>239</v>
      </c>
      <c r="D52" s="8" t="s">
        <v>240</v>
      </c>
      <c r="E52" s="8" t="s">
        <v>241</v>
      </c>
      <c r="F52" s="8" t="s">
        <v>38</v>
      </c>
      <c r="G52" s="8" t="s">
        <v>242</v>
      </c>
      <c r="H52" s="9" t="s">
        <v>18</v>
      </c>
      <c r="I52" s="10"/>
      <c r="J52" s="11" t="n">
        <f aca="false">INT((ROW()-2)/50)+1</f>
        <v>2</v>
      </c>
      <c r="K52" s="11" t="str">
        <f aca="false">IF(H52="","Pending",IF(OR(H52="0",H52="1",H52="2",H52="U"),"Complete","Invalid"))</f>
        <v>Complete</v>
      </c>
    </row>
    <row r="53" customFormat="false" ht="84" hidden="false" customHeight="true" outlineLevel="0" collapsed="false">
      <c r="A53" s="8" t="s">
        <v>243</v>
      </c>
      <c r="B53" s="8" t="s">
        <v>238</v>
      </c>
      <c r="C53" s="8" t="s">
        <v>239</v>
      </c>
      <c r="D53" s="8" t="s">
        <v>240</v>
      </c>
      <c r="E53" s="8" t="s">
        <v>244</v>
      </c>
      <c r="F53" s="8" t="s">
        <v>245</v>
      </c>
      <c r="G53" s="8" t="s">
        <v>246</v>
      </c>
      <c r="H53" s="9" t="s">
        <v>132</v>
      </c>
      <c r="I53" s="10"/>
      <c r="J53" s="11" t="n">
        <f aca="false">INT((ROW()-2)/50)+1</f>
        <v>2</v>
      </c>
      <c r="K53" s="11" t="str">
        <f aca="false">IF(H53="","Pending",IF(OR(H53="0",H53="1",H53="2",H53="U"),"Complete","Invalid"))</f>
        <v>Complete</v>
      </c>
    </row>
    <row r="54" customFormat="false" ht="84" hidden="false" customHeight="true" outlineLevel="0" collapsed="false">
      <c r="A54" s="8" t="s">
        <v>247</v>
      </c>
      <c r="B54" s="8" t="s">
        <v>248</v>
      </c>
      <c r="C54" s="8" t="s">
        <v>249</v>
      </c>
      <c r="D54" s="8" t="s">
        <v>250</v>
      </c>
      <c r="E54" s="8" t="s">
        <v>120</v>
      </c>
      <c r="F54" s="8" t="s">
        <v>31</v>
      </c>
      <c r="G54" s="8" t="s">
        <v>121</v>
      </c>
      <c r="H54" s="9" t="s">
        <v>18</v>
      </c>
      <c r="I54" s="10"/>
      <c r="J54" s="11" t="n">
        <f aca="false">INT((ROW()-2)/50)+1</f>
        <v>2</v>
      </c>
      <c r="K54" s="11" t="str">
        <f aca="false">IF(H54="","Pending",IF(OR(H54="0",H54="1",H54="2",H54="U"),"Complete","Invalid"))</f>
        <v>Complete</v>
      </c>
    </row>
    <row r="55" customFormat="false" ht="84" hidden="false" customHeight="true" outlineLevel="0" collapsed="false">
      <c r="A55" s="8" t="s">
        <v>251</v>
      </c>
      <c r="B55" s="8" t="s">
        <v>34</v>
      </c>
      <c r="C55" s="8" t="s">
        <v>35</v>
      </c>
      <c r="D55" s="8" t="s">
        <v>36</v>
      </c>
      <c r="E55" s="8" t="s">
        <v>252</v>
      </c>
      <c r="F55" s="8" t="s">
        <v>138</v>
      </c>
      <c r="G55" s="8" t="s">
        <v>253</v>
      </c>
      <c r="H55" s="9" t="s">
        <v>132</v>
      </c>
      <c r="I55" s="10"/>
      <c r="J55" s="11" t="n">
        <f aca="false">INT((ROW()-2)/50)+1</f>
        <v>2</v>
      </c>
      <c r="K55" s="11" t="str">
        <f aca="false">IF(H55="","Pending",IF(OR(H55="0",H55="1",H55="2",H55="U"),"Complete","Invalid"))</f>
        <v>Complete</v>
      </c>
    </row>
    <row r="56" customFormat="false" ht="84" hidden="false" customHeight="true" outlineLevel="0" collapsed="false">
      <c r="A56" s="8" t="s">
        <v>254</v>
      </c>
      <c r="B56" s="8" t="s">
        <v>105</v>
      </c>
      <c r="C56" s="8" t="s">
        <v>106</v>
      </c>
      <c r="D56" s="8" t="s">
        <v>107</v>
      </c>
      <c r="E56" s="8" t="s">
        <v>61</v>
      </c>
      <c r="F56" s="8" t="s">
        <v>62</v>
      </c>
      <c r="G56" s="8" t="s">
        <v>63</v>
      </c>
      <c r="H56" s="9" t="s">
        <v>132</v>
      </c>
      <c r="I56" s="10"/>
      <c r="J56" s="11" t="n">
        <f aca="false">INT((ROW()-2)/50)+1</f>
        <v>2</v>
      </c>
      <c r="K56" s="11" t="str">
        <f aca="false">IF(H56="","Pending",IF(OR(H56="0",H56="1",H56="2",H56="U"),"Complete","Invalid"))</f>
        <v>Complete</v>
      </c>
    </row>
    <row r="57" customFormat="false" ht="84" hidden="false" customHeight="true" outlineLevel="0" collapsed="false">
      <c r="A57" s="8" t="s">
        <v>255</v>
      </c>
      <c r="B57" s="8" t="s">
        <v>238</v>
      </c>
      <c r="C57" s="8" t="s">
        <v>239</v>
      </c>
      <c r="D57" s="8" t="s">
        <v>240</v>
      </c>
      <c r="E57" s="8" t="s">
        <v>256</v>
      </c>
      <c r="F57" s="8" t="s">
        <v>245</v>
      </c>
      <c r="G57" s="8" t="s">
        <v>257</v>
      </c>
      <c r="H57" s="9" t="s">
        <v>114</v>
      </c>
      <c r="I57" s="10"/>
      <c r="J57" s="11" t="n">
        <f aca="false">INT((ROW()-2)/50)+1</f>
        <v>2</v>
      </c>
      <c r="K57" s="11" t="str">
        <f aca="false">IF(H57="","Pending",IF(OR(H57="0",H57="1",H57="2",H57="U"),"Complete","Invalid"))</f>
        <v>Complete</v>
      </c>
    </row>
    <row r="58" customFormat="false" ht="84" hidden="false" customHeight="true" outlineLevel="0" collapsed="false">
      <c r="A58" s="8" t="s">
        <v>258</v>
      </c>
      <c r="B58" s="8" t="s">
        <v>259</v>
      </c>
      <c r="C58" s="8" t="s">
        <v>260</v>
      </c>
      <c r="D58" s="8" t="s">
        <v>261</v>
      </c>
      <c r="E58" s="8" t="s">
        <v>262</v>
      </c>
      <c r="F58" s="8" t="s">
        <v>263</v>
      </c>
      <c r="G58" s="8" t="s">
        <v>264</v>
      </c>
      <c r="H58" s="9" t="s">
        <v>18</v>
      </c>
      <c r="I58" s="10"/>
      <c r="J58" s="11" t="n">
        <f aca="false">INT((ROW()-2)/50)+1</f>
        <v>2</v>
      </c>
      <c r="K58" s="11" t="str">
        <f aca="false">IF(H58="","Pending",IF(OR(H58="0",H58="1",H58="2",H58="U"),"Complete","Invalid"))</f>
        <v>Complete</v>
      </c>
    </row>
    <row r="59" customFormat="false" ht="84" hidden="false" customHeight="true" outlineLevel="0" collapsed="false">
      <c r="A59" s="8" t="s">
        <v>265</v>
      </c>
      <c r="B59" s="8" t="s">
        <v>134</v>
      </c>
      <c r="C59" s="8" t="s">
        <v>135</v>
      </c>
      <c r="D59" s="8" t="s">
        <v>136</v>
      </c>
      <c r="E59" s="8" t="s">
        <v>65</v>
      </c>
      <c r="F59" s="8" t="s">
        <v>66</v>
      </c>
      <c r="G59" s="8" t="s">
        <v>67</v>
      </c>
      <c r="H59" s="9" t="s">
        <v>132</v>
      </c>
      <c r="I59" s="10"/>
      <c r="J59" s="11" t="n">
        <f aca="false">INT((ROW()-2)/50)+1</f>
        <v>2</v>
      </c>
      <c r="K59" s="11" t="str">
        <f aca="false">IF(H59="","Pending",IF(OR(H59="0",H59="1",H59="2",H59="U"),"Complete","Invalid"))</f>
        <v>Complete</v>
      </c>
    </row>
    <row r="60" customFormat="false" ht="84" hidden="false" customHeight="true" outlineLevel="0" collapsed="false">
      <c r="A60" s="8" t="s">
        <v>266</v>
      </c>
      <c r="B60" s="8" t="s">
        <v>171</v>
      </c>
      <c r="C60" s="8" t="s">
        <v>172</v>
      </c>
      <c r="D60" s="8" t="s">
        <v>173</v>
      </c>
      <c r="E60" s="8" t="s">
        <v>108</v>
      </c>
      <c r="F60" s="8" t="s">
        <v>109</v>
      </c>
      <c r="G60" s="8" t="s">
        <v>110</v>
      </c>
      <c r="H60" s="9" t="s">
        <v>18</v>
      </c>
      <c r="I60" s="10"/>
      <c r="J60" s="11" t="n">
        <f aca="false">INT((ROW()-2)/50)+1</f>
        <v>2</v>
      </c>
      <c r="K60" s="11" t="str">
        <f aca="false">IF(H60="","Pending",IF(OR(H60="0",H60="1",H60="2",H60="U"),"Complete","Invalid"))</f>
        <v>Complete</v>
      </c>
    </row>
    <row r="61" customFormat="false" ht="84" hidden="false" customHeight="true" outlineLevel="0" collapsed="false">
      <c r="A61" s="8" t="s">
        <v>267</v>
      </c>
      <c r="B61" s="8" t="s">
        <v>259</v>
      </c>
      <c r="C61" s="8" t="s">
        <v>260</v>
      </c>
      <c r="D61" s="8" t="s">
        <v>261</v>
      </c>
      <c r="E61" s="8" t="s">
        <v>268</v>
      </c>
      <c r="F61" s="8" t="s">
        <v>84</v>
      </c>
      <c r="G61" s="8" t="s">
        <v>269</v>
      </c>
      <c r="H61" s="9" t="s">
        <v>132</v>
      </c>
      <c r="I61" s="10"/>
      <c r="J61" s="11" t="n">
        <f aca="false">INT((ROW()-2)/50)+1</f>
        <v>2</v>
      </c>
      <c r="K61" s="11" t="str">
        <f aca="false">IF(H61="","Pending",IF(OR(H61="0",H61="1",H61="2",H61="U"),"Complete","Invalid"))</f>
        <v>Complete</v>
      </c>
    </row>
    <row r="62" customFormat="false" ht="84" hidden="false" customHeight="true" outlineLevel="0" collapsed="false">
      <c r="A62" s="8" t="s">
        <v>270</v>
      </c>
      <c r="B62" s="8" t="s">
        <v>271</v>
      </c>
      <c r="C62" s="8" t="s">
        <v>272</v>
      </c>
      <c r="D62" s="8" t="s">
        <v>273</v>
      </c>
      <c r="E62" s="8" t="s">
        <v>120</v>
      </c>
      <c r="F62" s="8" t="s">
        <v>31</v>
      </c>
      <c r="G62" s="8" t="s">
        <v>121</v>
      </c>
      <c r="H62" s="9" t="s">
        <v>18</v>
      </c>
      <c r="I62" s="10"/>
      <c r="J62" s="11" t="n">
        <f aca="false">INT((ROW()-2)/50)+1</f>
        <v>2</v>
      </c>
      <c r="K62" s="11" t="str">
        <f aca="false">IF(H62="","Pending",IF(OR(H62="0",H62="1",H62="2",H62="U"),"Complete","Invalid"))</f>
        <v>Complete</v>
      </c>
    </row>
    <row r="63" customFormat="false" ht="84" hidden="false" customHeight="true" outlineLevel="0" collapsed="false">
      <c r="A63" s="8" t="s">
        <v>274</v>
      </c>
      <c r="B63" s="8" t="s">
        <v>189</v>
      </c>
      <c r="C63" s="8" t="s">
        <v>190</v>
      </c>
      <c r="D63" s="8" t="s">
        <v>191</v>
      </c>
      <c r="E63" s="8" t="s">
        <v>275</v>
      </c>
      <c r="F63" s="8" t="s">
        <v>142</v>
      </c>
      <c r="G63" s="8" t="s">
        <v>276</v>
      </c>
      <c r="H63" s="9" t="s">
        <v>18</v>
      </c>
      <c r="I63" s="10"/>
      <c r="J63" s="11" t="n">
        <f aca="false">INT((ROW()-2)/50)+1</f>
        <v>2</v>
      </c>
      <c r="K63" s="11" t="str">
        <f aca="false">IF(H63="","Pending",IF(OR(H63="0",H63="1",H63="2",H63="U"),"Complete","Invalid"))</f>
        <v>Complete</v>
      </c>
    </row>
    <row r="64" customFormat="false" ht="84" hidden="false" customHeight="true" outlineLevel="0" collapsed="false">
      <c r="A64" s="8" t="s">
        <v>277</v>
      </c>
      <c r="B64" s="8" t="s">
        <v>171</v>
      </c>
      <c r="C64" s="8" t="s">
        <v>172</v>
      </c>
      <c r="D64" s="8" t="s">
        <v>173</v>
      </c>
      <c r="E64" s="8" t="s">
        <v>278</v>
      </c>
      <c r="F64" s="8" t="s">
        <v>31</v>
      </c>
      <c r="G64" s="8" t="s">
        <v>279</v>
      </c>
      <c r="H64" s="9" t="s">
        <v>18</v>
      </c>
      <c r="I64" s="10"/>
      <c r="J64" s="11" t="n">
        <f aca="false">INT((ROW()-2)/50)+1</f>
        <v>2</v>
      </c>
      <c r="K64" s="11" t="str">
        <f aca="false">IF(H64="","Pending",IF(OR(H64="0",H64="1",H64="2",H64="U"),"Complete","Invalid"))</f>
        <v>Complete</v>
      </c>
    </row>
    <row r="65" customFormat="false" ht="84" hidden="false" customHeight="true" outlineLevel="0" collapsed="false">
      <c r="A65" s="8" t="s">
        <v>280</v>
      </c>
      <c r="B65" s="8" t="s">
        <v>238</v>
      </c>
      <c r="C65" s="8" t="s">
        <v>239</v>
      </c>
      <c r="D65" s="8" t="s">
        <v>240</v>
      </c>
      <c r="E65" s="8" t="s">
        <v>112</v>
      </c>
      <c r="F65" s="8" t="s">
        <v>88</v>
      </c>
      <c r="G65" s="8" t="s">
        <v>113</v>
      </c>
      <c r="H65" s="9" t="s">
        <v>18</v>
      </c>
      <c r="I65" s="10"/>
      <c r="J65" s="11" t="n">
        <f aca="false">INT((ROW()-2)/50)+1</f>
        <v>2</v>
      </c>
      <c r="K65" s="11" t="str">
        <f aca="false">IF(H65="","Pending",IF(OR(H65="0",H65="1",H65="2",H65="U"),"Complete","Invalid"))</f>
        <v>Complete</v>
      </c>
    </row>
    <row r="66" customFormat="false" ht="84" hidden="false" customHeight="true" outlineLevel="0" collapsed="false">
      <c r="A66" s="8" t="s">
        <v>281</v>
      </c>
      <c r="B66" s="8" t="s">
        <v>134</v>
      </c>
      <c r="C66" s="8" t="s">
        <v>135</v>
      </c>
      <c r="D66" s="8" t="s">
        <v>136</v>
      </c>
      <c r="E66" s="8" t="s">
        <v>282</v>
      </c>
      <c r="F66" s="8" t="s">
        <v>24</v>
      </c>
      <c r="G66" s="8" t="s">
        <v>283</v>
      </c>
      <c r="H66" s="9" t="s">
        <v>18</v>
      </c>
      <c r="I66" s="10"/>
      <c r="J66" s="11" t="n">
        <f aca="false">INT((ROW()-2)/50)+1</f>
        <v>2</v>
      </c>
      <c r="K66" s="11" t="str">
        <f aca="false">IF(H66="","Pending",IF(OR(H66="0",H66="1",H66="2",H66="U"),"Complete","Invalid"))</f>
        <v>Complete</v>
      </c>
    </row>
    <row r="67" customFormat="false" ht="84" hidden="false" customHeight="true" outlineLevel="0" collapsed="false">
      <c r="A67" s="8" t="s">
        <v>284</v>
      </c>
      <c r="B67" s="8" t="s">
        <v>209</v>
      </c>
      <c r="C67" s="8" t="s">
        <v>210</v>
      </c>
      <c r="D67" s="8" t="s">
        <v>211</v>
      </c>
      <c r="E67" s="8" t="s">
        <v>201</v>
      </c>
      <c r="F67" s="8" t="s">
        <v>202</v>
      </c>
      <c r="G67" s="8" t="s">
        <v>203</v>
      </c>
      <c r="H67" s="9" t="s">
        <v>132</v>
      </c>
      <c r="I67" s="10"/>
      <c r="J67" s="11" t="n">
        <f aca="false">INT((ROW()-2)/50)+1</f>
        <v>2</v>
      </c>
      <c r="K67" s="11" t="str">
        <f aca="false">IF(H67="","Pending",IF(OR(H67="0",H67="1",H67="2",H67="U"),"Complete","Invalid"))</f>
        <v>Complete</v>
      </c>
    </row>
    <row r="68" customFormat="false" ht="84" hidden="false" customHeight="true" outlineLevel="0" collapsed="false">
      <c r="A68" s="8" t="s">
        <v>285</v>
      </c>
      <c r="B68" s="8" t="s">
        <v>271</v>
      </c>
      <c r="C68" s="8" t="s">
        <v>272</v>
      </c>
      <c r="D68" s="8" t="s">
        <v>273</v>
      </c>
      <c r="E68" s="8" t="s">
        <v>286</v>
      </c>
      <c r="F68" s="8" t="s">
        <v>216</v>
      </c>
      <c r="G68" s="8" t="s">
        <v>287</v>
      </c>
      <c r="H68" s="9" t="s">
        <v>18</v>
      </c>
      <c r="I68" s="10"/>
      <c r="J68" s="11" t="n">
        <f aca="false">INT((ROW()-2)/50)+1</f>
        <v>2</v>
      </c>
      <c r="K68" s="11" t="str">
        <f aca="false">IF(H68="","Pending",IF(OR(H68="0",H68="1",H68="2",H68="U"),"Complete","Invalid"))</f>
        <v>Complete</v>
      </c>
    </row>
    <row r="69" customFormat="false" ht="84" hidden="false" customHeight="true" outlineLevel="0" collapsed="false">
      <c r="A69" s="8" t="s">
        <v>288</v>
      </c>
      <c r="B69" s="8" t="s">
        <v>12</v>
      </c>
      <c r="C69" s="8" t="s">
        <v>13</v>
      </c>
      <c r="D69" s="8" t="s">
        <v>14</v>
      </c>
      <c r="E69" s="8" t="s">
        <v>145</v>
      </c>
      <c r="F69" s="8" t="s">
        <v>95</v>
      </c>
      <c r="G69" s="8" t="s">
        <v>146</v>
      </c>
      <c r="H69" s="9" t="s">
        <v>18</v>
      </c>
      <c r="I69" s="10"/>
      <c r="J69" s="11" t="n">
        <f aca="false">INT((ROW()-2)/50)+1</f>
        <v>2</v>
      </c>
      <c r="K69" s="11" t="str">
        <f aca="false">IF(H69="","Pending",IF(OR(H69="0",H69="1",H69="2",H69="U"),"Complete","Invalid"))</f>
        <v>Complete</v>
      </c>
    </row>
    <row r="70" customFormat="false" ht="84" hidden="false" customHeight="true" outlineLevel="0" collapsed="false">
      <c r="A70" s="8" t="s">
        <v>289</v>
      </c>
      <c r="B70" s="8" t="s">
        <v>219</v>
      </c>
      <c r="C70" s="8" t="s">
        <v>220</v>
      </c>
      <c r="D70" s="8" t="s">
        <v>221</v>
      </c>
      <c r="E70" s="8" t="s">
        <v>290</v>
      </c>
      <c r="F70" s="8" t="s">
        <v>55</v>
      </c>
      <c r="G70" s="8" t="s">
        <v>291</v>
      </c>
      <c r="H70" s="9" t="s">
        <v>18</v>
      </c>
      <c r="I70" s="10"/>
      <c r="J70" s="11" t="n">
        <f aca="false">INT((ROW()-2)/50)+1</f>
        <v>2</v>
      </c>
      <c r="K70" s="11" t="str">
        <f aca="false">IF(H70="","Pending",IF(OR(H70="0",H70="1",H70="2",H70="U"),"Complete","Invalid"))</f>
        <v>Complete</v>
      </c>
    </row>
    <row r="71" customFormat="false" ht="84" hidden="false" customHeight="true" outlineLevel="0" collapsed="false">
      <c r="A71" s="8" t="s">
        <v>292</v>
      </c>
      <c r="B71" s="8" t="s">
        <v>105</v>
      </c>
      <c r="C71" s="8" t="s">
        <v>106</v>
      </c>
      <c r="D71" s="8" t="s">
        <v>107</v>
      </c>
      <c r="E71" s="8" t="s">
        <v>293</v>
      </c>
      <c r="F71" s="8" t="s">
        <v>31</v>
      </c>
      <c r="G71" s="8" t="s">
        <v>294</v>
      </c>
      <c r="H71" s="9" t="s">
        <v>18</v>
      </c>
      <c r="I71" s="10"/>
      <c r="J71" s="11" t="n">
        <f aca="false">INT((ROW()-2)/50)+1</f>
        <v>2</v>
      </c>
      <c r="K71" s="11" t="str">
        <f aca="false">IF(H71="","Pending",IF(OR(H71="0",H71="1",H71="2",H71="U"),"Complete","Invalid"))</f>
        <v>Complete</v>
      </c>
    </row>
    <row r="72" customFormat="false" ht="84" hidden="false" customHeight="true" outlineLevel="0" collapsed="false">
      <c r="A72" s="8" t="s">
        <v>295</v>
      </c>
      <c r="B72" s="8" t="s">
        <v>34</v>
      </c>
      <c r="C72" s="8" t="s">
        <v>35</v>
      </c>
      <c r="D72" s="8" t="s">
        <v>36</v>
      </c>
      <c r="E72" s="8" t="s">
        <v>15</v>
      </c>
      <c r="F72" s="8" t="s">
        <v>16</v>
      </c>
      <c r="G72" s="8" t="s">
        <v>17</v>
      </c>
      <c r="H72" s="9" t="s">
        <v>18</v>
      </c>
      <c r="I72" s="10"/>
      <c r="J72" s="11" t="n">
        <f aca="false">INT((ROW()-2)/50)+1</f>
        <v>2</v>
      </c>
      <c r="K72" s="11" t="str">
        <f aca="false">IF(H72="","Pending",IF(OR(H72="0",H72="1",H72="2",H72="U"),"Complete","Invalid"))</f>
        <v>Complete</v>
      </c>
    </row>
    <row r="73" customFormat="false" ht="84" hidden="false" customHeight="true" outlineLevel="0" collapsed="false">
      <c r="A73" s="8" t="s">
        <v>296</v>
      </c>
      <c r="B73" s="8" t="s">
        <v>209</v>
      </c>
      <c r="C73" s="8" t="s">
        <v>210</v>
      </c>
      <c r="D73" s="8" t="s">
        <v>211</v>
      </c>
      <c r="E73" s="8" t="s">
        <v>65</v>
      </c>
      <c r="F73" s="8" t="s">
        <v>66</v>
      </c>
      <c r="G73" s="8" t="s">
        <v>67</v>
      </c>
      <c r="H73" s="9" t="s">
        <v>114</v>
      </c>
      <c r="I73" s="10"/>
      <c r="J73" s="11" t="n">
        <f aca="false">INT((ROW()-2)/50)+1</f>
        <v>2</v>
      </c>
      <c r="K73" s="11" t="str">
        <f aca="false">IF(H73="","Pending",IF(OR(H73="0",H73="1",H73="2",H73="U"),"Complete","Invalid"))</f>
        <v>Complete</v>
      </c>
    </row>
    <row r="74" customFormat="false" ht="84" hidden="false" customHeight="true" outlineLevel="0" collapsed="false">
      <c r="A74" s="8" t="s">
        <v>297</v>
      </c>
      <c r="B74" s="8" t="s">
        <v>155</v>
      </c>
      <c r="C74" s="8" t="s">
        <v>156</v>
      </c>
      <c r="D74" s="8" t="s">
        <v>157</v>
      </c>
      <c r="E74" s="8" t="s">
        <v>15</v>
      </c>
      <c r="F74" s="8" t="s">
        <v>16</v>
      </c>
      <c r="G74" s="8" t="s">
        <v>17</v>
      </c>
      <c r="H74" s="9" t="s">
        <v>18</v>
      </c>
      <c r="I74" s="10"/>
      <c r="J74" s="11" t="n">
        <f aca="false">INT((ROW()-2)/50)+1</f>
        <v>2</v>
      </c>
      <c r="K74" s="11" t="str">
        <f aca="false">IF(H74="","Pending",IF(OR(H74="0",H74="1",H74="2",H74="U"),"Complete","Invalid"))</f>
        <v>Complete</v>
      </c>
    </row>
    <row r="75" customFormat="false" ht="84" hidden="false" customHeight="true" outlineLevel="0" collapsed="false">
      <c r="A75" s="8" t="s">
        <v>298</v>
      </c>
      <c r="B75" s="8" t="s">
        <v>299</v>
      </c>
      <c r="C75" s="8" t="s">
        <v>300</v>
      </c>
      <c r="D75" s="8" t="s">
        <v>301</v>
      </c>
      <c r="E75" s="8" t="s">
        <v>61</v>
      </c>
      <c r="F75" s="8" t="s">
        <v>62</v>
      </c>
      <c r="G75" s="8" t="s">
        <v>63</v>
      </c>
      <c r="H75" s="9" t="s">
        <v>132</v>
      </c>
      <c r="I75" s="10"/>
      <c r="J75" s="11" t="n">
        <f aca="false">INT((ROW()-2)/50)+1</f>
        <v>2</v>
      </c>
      <c r="K75" s="11" t="str">
        <f aca="false">IF(H75="","Pending",IF(OR(H75="0",H75="1",H75="2",H75="U"),"Complete","Invalid"))</f>
        <v>Complete</v>
      </c>
    </row>
    <row r="76" customFormat="false" ht="84" hidden="false" customHeight="true" outlineLevel="0" collapsed="false">
      <c r="A76" s="8" t="s">
        <v>302</v>
      </c>
      <c r="B76" s="8" t="s">
        <v>129</v>
      </c>
      <c r="C76" s="8" t="s">
        <v>130</v>
      </c>
      <c r="D76" s="8" t="s">
        <v>131</v>
      </c>
      <c r="E76" s="8" t="s">
        <v>235</v>
      </c>
      <c r="F76" s="8" t="s">
        <v>16</v>
      </c>
      <c r="G76" s="8" t="s">
        <v>236</v>
      </c>
      <c r="H76" s="9" t="s">
        <v>114</v>
      </c>
      <c r="I76" s="10"/>
      <c r="J76" s="11" t="n">
        <f aca="false">INT((ROW()-2)/50)+1</f>
        <v>2</v>
      </c>
      <c r="K76" s="11" t="str">
        <f aca="false">IF(H76="","Pending",IF(OR(H76="0",H76="1",H76="2",H76="U"),"Complete","Invalid"))</f>
        <v>Complete</v>
      </c>
    </row>
    <row r="77" customFormat="false" ht="84" hidden="false" customHeight="true" outlineLevel="0" collapsed="false">
      <c r="A77" s="8" t="s">
        <v>303</v>
      </c>
      <c r="B77" s="8" t="s">
        <v>232</v>
      </c>
      <c r="C77" s="8" t="s">
        <v>233</v>
      </c>
      <c r="D77" s="8" t="s">
        <v>234</v>
      </c>
      <c r="E77" s="8" t="s">
        <v>304</v>
      </c>
      <c r="F77" s="8" t="s">
        <v>73</v>
      </c>
      <c r="G77" s="8" t="s">
        <v>305</v>
      </c>
      <c r="H77" s="9" t="s">
        <v>114</v>
      </c>
      <c r="I77" s="10"/>
      <c r="J77" s="11" t="n">
        <f aca="false">INT((ROW()-2)/50)+1</f>
        <v>2</v>
      </c>
      <c r="K77" s="11" t="str">
        <f aca="false">IF(H77="","Pending",IF(OR(H77="0",H77="1",H77="2",H77="U"),"Complete","Invalid"))</f>
        <v>Complete</v>
      </c>
    </row>
    <row r="78" customFormat="false" ht="84" hidden="false" customHeight="true" outlineLevel="0" collapsed="false">
      <c r="A78" s="8" t="s">
        <v>306</v>
      </c>
      <c r="B78" s="8" t="s">
        <v>219</v>
      </c>
      <c r="C78" s="8" t="s">
        <v>220</v>
      </c>
      <c r="D78" s="8" t="s">
        <v>221</v>
      </c>
      <c r="E78" s="8" t="s">
        <v>307</v>
      </c>
      <c r="F78" s="8" t="s">
        <v>31</v>
      </c>
      <c r="G78" s="8" t="s">
        <v>308</v>
      </c>
      <c r="H78" s="9" t="s">
        <v>18</v>
      </c>
      <c r="I78" s="10"/>
      <c r="J78" s="11" t="n">
        <f aca="false">INT((ROW()-2)/50)+1</f>
        <v>2</v>
      </c>
      <c r="K78" s="11" t="str">
        <f aca="false">IF(H78="","Pending",IF(OR(H78="0",H78="1",H78="2",H78="U"),"Complete","Invalid"))</f>
        <v>Complete</v>
      </c>
    </row>
    <row r="79" customFormat="false" ht="84" hidden="false" customHeight="true" outlineLevel="0" collapsed="false">
      <c r="A79" s="8" t="s">
        <v>309</v>
      </c>
      <c r="B79" s="8" t="s">
        <v>238</v>
      </c>
      <c r="C79" s="8" t="s">
        <v>239</v>
      </c>
      <c r="D79" s="8" t="s">
        <v>240</v>
      </c>
      <c r="E79" s="8" t="s">
        <v>145</v>
      </c>
      <c r="F79" s="8" t="s">
        <v>95</v>
      </c>
      <c r="G79" s="8" t="s">
        <v>146</v>
      </c>
      <c r="H79" s="9" t="s">
        <v>18</v>
      </c>
      <c r="I79" s="10"/>
      <c r="J79" s="11" t="n">
        <f aca="false">INT((ROW()-2)/50)+1</f>
        <v>2</v>
      </c>
      <c r="K79" s="11" t="str">
        <f aca="false">IF(H79="","Pending",IF(OR(H79="0",H79="1",H79="2",H79="U"),"Complete","Invalid"))</f>
        <v>Complete</v>
      </c>
    </row>
    <row r="80" customFormat="false" ht="84" hidden="false" customHeight="true" outlineLevel="0" collapsed="false">
      <c r="A80" s="8" t="s">
        <v>310</v>
      </c>
      <c r="B80" s="8" t="s">
        <v>238</v>
      </c>
      <c r="C80" s="8" t="s">
        <v>239</v>
      </c>
      <c r="D80" s="8" t="s">
        <v>240</v>
      </c>
      <c r="E80" s="8" t="s">
        <v>15</v>
      </c>
      <c r="F80" s="8" t="s">
        <v>16</v>
      </c>
      <c r="G80" s="8" t="s">
        <v>17</v>
      </c>
      <c r="H80" s="9" t="s">
        <v>18</v>
      </c>
      <c r="I80" s="10"/>
      <c r="J80" s="11" t="n">
        <f aca="false">INT((ROW()-2)/50)+1</f>
        <v>2</v>
      </c>
      <c r="K80" s="11" t="str">
        <f aca="false">IF(H80="","Pending",IF(OR(H80="0",H80="1",H80="2",H80="U"),"Complete","Invalid"))</f>
        <v>Complete</v>
      </c>
    </row>
    <row r="81" customFormat="false" ht="84" hidden="false" customHeight="true" outlineLevel="0" collapsed="false">
      <c r="A81" s="8" t="s">
        <v>311</v>
      </c>
      <c r="B81" s="8" t="s">
        <v>312</v>
      </c>
      <c r="C81" s="8" t="s">
        <v>313</v>
      </c>
      <c r="D81" s="8" t="s">
        <v>314</v>
      </c>
      <c r="E81" s="8" t="s">
        <v>145</v>
      </c>
      <c r="F81" s="8" t="s">
        <v>95</v>
      </c>
      <c r="G81" s="8" t="s">
        <v>146</v>
      </c>
      <c r="H81" s="9" t="s">
        <v>18</v>
      </c>
      <c r="I81" s="10"/>
      <c r="J81" s="11" t="n">
        <f aca="false">INT((ROW()-2)/50)+1</f>
        <v>2</v>
      </c>
      <c r="K81" s="11" t="str">
        <f aca="false">IF(H81="","Pending",IF(OR(H81="0",H81="1",H81="2",H81="U"),"Complete","Invalid"))</f>
        <v>Complete</v>
      </c>
    </row>
    <row r="82" customFormat="false" ht="84" hidden="false" customHeight="true" outlineLevel="0" collapsed="false">
      <c r="A82" s="8" t="s">
        <v>315</v>
      </c>
      <c r="B82" s="8" t="s">
        <v>51</v>
      </c>
      <c r="C82" s="8" t="s">
        <v>52</v>
      </c>
      <c r="D82" s="8" t="s">
        <v>53</v>
      </c>
      <c r="E82" s="8" t="s">
        <v>48</v>
      </c>
      <c r="F82" s="8" t="s">
        <v>24</v>
      </c>
      <c r="G82" s="8" t="s">
        <v>49</v>
      </c>
      <c r="H82" s="9" t="s">
        <v>18</v>
      </c>
      <c r="I82" s="10"/>
      <c r="J82" s="11" t="n">
        <f aca="false">INT((ROW()-2)/50)+1</f>
        <v>2</v>
      </c>
      <c r="K82" s="11" t="str">
        <f aca="false">IF(H82="","Pending",IF(OR(H82="0",H82="1",H82="2",H82="U"),"Complete","Invalid"))</f>
        <v>Complete</v>
      </c>
    </row>
    <row r="83" customFormat="false" ht="84" hidden="false" customHeight="true" outlineLevel="0" collapsed="false">
      <c r="A83" s="8" t="s">
        <v>316</v>
      </c>
      <c r="B83" s="8" t="s">
        <v>148</v>
      </c>
      <c r="C83" s="8" t="s">
        <v>149</v>
      </c>
      <c r="D83" s="8" t="s">
        <v>150</v>
      </c>
      <c r="E83" s="8" t="s">
        <v>141</v>
      </c>
      <c r="F83" s="8" t="s">
        <v>142</v>
      </c>
      <c r="G83" s="8" t="s">
        <v>143</v>
      </c>
      <c r="H83" s="9" t="s">
        <v>18</v>
      </c>
      <c r="I83" s="10" t="s">
        <v>317</v>
      </c>
      <c r="J83" s="11" t="n">
        <f aca="false">INT((ROW()-2)/50)+1</f>
        <v>2</v>
      </c>
      <c r="K83" s="11" t="str">
        <f aca="false">IF(H83="","Pending",IF(OR(H83="0",H83="1",H83="2",H83="U"),"Complete","Invalid"))</f>
        <v>Complete</v>
      </c>
    </row>
    <row r="84" customFormat="false" ht="84" hidden="false" customHeight="true" outlineLevel="0" collapsed="false">
      <c r="A84" s="8" t="s">
        <v>318</v>
      </c>
      <c r="B84" s="8" t="s">
        <v>155</v>
      </c>
      <c r="C84" s="8" t="s">
        <v>156</v>
      </c>
      <c r="D84" s="8" t="s">
        <v>157</v>
      </c>
      <c r="E84" s="8" t="s">
        <v>319</v>
      </c>
      <c r="F84" s="8" t="s">
        <v>62</v>
      </c>
      <c r="G84" s="8" t="s">
        <v>320</v>
      </c>
      <c r="H84" s="9" t="s">
        <v>18</v>
      </c>
      <c r="I84" s="10"/>
      <c r="J84" s="11" t="n">
        <f aca="false">INT((ROW()-2)/50)+1</f>
        <v>2</v>
      </c>
      <c r="K84" s="11" t="str">
        <f aca="false">IF(H84="","Pending",IF(OR(H84="0",H84="1",H84="2",H84="U"),"Complete","Invalid"))</f>
        <v>Complete</v>
      </c>
    </row>
    <row r="85" customFormat="false" ht="84" hidden="false" customHeight="true" outlineLevel="0" collapsed="false">
      <c r="A85" s="8" t="s">
        <v>321</v>
      </c>
      <c r="B85" s="8" t="s">
        <v>155</v>
      </c>
      <c r="C85" s="8" t="s">
        <v>156</v>
      </c>
      <c r="D85" s="8" t="s">
        <v>157</v>
      </c>
      <c r="E85" s="8" t="s">
        <v>30</v>
      </c>
      <c r="F85" s="8" t="s">
        <v>31</v>
      </c>
      <c r="G85" s="8" t="s">
        <v>32</v>
      </c>
      <c r="H85" s="9" t="s">
        <v>18</v>
      </c>
      <c r="I85" s="10"/>
      <c r="J85" s="11" t="n">
        <f aca="false">INT((ROW()-2)/50)+1</f>
        <v>2</v>
      </c>
      <c r="K85" s="11" t="str">
        <f aca="false">IF(H85="","Pending",IF(OR(H85="0",H85="1",H85="2",H85="U"),"Complete","Invalid"))</f>
        <v>Complete</v>
      </c>
    </row>
    <row r="86" customFormat="false" ht="84" hidden="false" customHeight="true" outlineLevel="0" collapsed="false">
      <c r="A86" s="8" t="s">
        <v>322</v>
      </c>
      <c r="B86" s="8" t="s">
        <v>129</v>
      </c>
      <c r="C86" s="8" t="s">
        <v>130</v>
      </c>
      <c r="D86" s="8" t="s">
        <v>131</v>
      </c>
      <c r="E86" s="8" t="s">
        <v>94</v>
      </c>
      <c r="F86" s="8" t="s">
        <v>95</v>
      </c>
      <c r="G86" s="8" t="s">
        <v>96</v>
      </c>
      <c r="H86" s="9" t="s">
        <v>18</v>
      </c>
      <c r="I86" s="10"/>
      <c r="J86" s="11" t="n">
        <f aca="false">INT((ROW()-2)/50)+1</f>
        <v>2</v>
      </c>
      <c r="K86" s="11" t="str">
        <f aca="false">IF(H86="","Pending",IF(OR(H86="0",H86="1",H86="2",H86="U"),"Complete","Invalid"))</f>
        <v>Complete</v>
      </c>
    </row>
    <row r="87" customFormat="false" ht="84" hidden="false" customHeight="true" outlineLevel="0" collapsed="false">
      <c r="A87" s="8" t="s">
        <v>323</v>
      </c>
      <c r="B87" s="8" t="s">
        <v>299</v>
      </c>
      <c r="C87" s="8" t="s">
        <v>300</v>
      </c>
      <c r="D87" s="8" t="s">
        <v>301</v>
      </c>
      <c r="E87" s="8" t="s">
        <v>54</v>
      </c>
      <c r="F87" s="8" t="s">
        <v>55</v>
      </c>
      <c r="G87" s="8" t="s">
        <v>56</v>
      </c>
      <c r="H87" s="9" t="s">
        <v>18</v>
      </c>
      <c r="I87" s="10"/>
      <c r="J87" s="11" t="n">
        <f aca="false">INT((ROW()-2)/50)+1</f>
        <v>2</v>
      </c>
      <c r="K87" s="11" t="str">
        <f aca="false">IF(H87="","Pending",IF(OR(H87="0",H87="1",H87="2",H87="U"),"Complete","Invalid"))</f>
        <v>Complete</v>
      </c>
    </row>
    <row r="88" customFormat="false" ht="84" hidden="false" customHeight="true" outlineLevel="0" collapsed="false">
      <c r="A88" s="8" t="s">
        <v>324</v>
      </c>
      <c r="B88" s="8" t="s">
        <v>219</v>
      </c>
      <c r="C88" s="8" t="s">
        <v>220</v>
      </c>
      <c r="D88" s="8" t="s">
        <v>221</v>
      </c>
      <c r="E88" s="8" t="s">
        <v>256</v>
      </c>
      <c r="F88" s="8" t="s">
        <v>245</v>
      </c>
      <c r="G88" s="8" t="s">
        <v>257</v>
      </c>
      <c r="H88" s="9" t="s">
        <v>114</v>
      </c>
      <c r="I88" s="10"/>
      <c r="J88" s="11" t="n">
        <f aca="false">INT((ROW()-2)/50)+1</f>
        <v>2</v>
      </c>
      <c r="K88" s="11" t="str">
        <f aca="false">IF(H88="","Pending",IF(OR(H88="0",H88="1",H88="2",H88="U"),"Complete","Invalid"))</f>
        <v>Complete</v>
      </c>
    </row>
    <row r="89" customFormat="false" ht="84" hidden="false" customHeight="true" outlineLevel="0" collapsed="false">
      <c r="A89" s="8" t="s">
        <v>325</v>
      </c>
      <c r="B89" s="8" t="s">
        <v>198</v>
      </c>
      <c r="C89" s="8" t="s">
        <v>199</v>
      </c>
      <c r="D89" s="8" t="s">
        <v>200</v>
      </c>
      <c r="E89" s="8" t="s">
        <v>116</v>
      </c>
      <c r="F89" s="8" t="s">
        <v>117</v>
      </c>
      <c r="G89" s="8" t="s">
        <v>118</v>
      </c>
      <c r="H89" s="9" t="s">
        <v>132</v>
      </c>
      <c r="I89" s="10"/>
      <c r="J89" s="11" t="n">
        <f aca="false">INT((ROW()-2)/50)+1</f>
        <v>2</v>
      </c>
      <c r="K89" s="11" t="str">
        <f aca="false">IF(H89="","Pending",IF(OR(H89="0",H89="1",H89="2",H89="U"),"Complete","Invalid"))</f>
        <v>Complete</v>
      </c>
    </row>
    <row r="90" customFormat="false" ht="84" hidden="false" customHeight="true" outlineLevel="0" collapsed="false">
      <c r="A90" s="8" t="s">
        <v>326</v>
      </c>
      <c r="B90" s="8" t="s">
        <v>58</v>
      </c>
      <c r="C90" s="8" t="s">
        <v>59</v>
      </c>
      <c r="D90" s="8" t="s">
        <v>60</v>
      </c>
      <c r="E90" s="8" t="s">
        <v>327</v>
      </c>
      <c r="F90" s="8" t="s">
        <v>31</v>
      </c>
      <c r="G90" s="8" t="s">
        <v>328</v>
      </c>
      <c r="H90" s="9" t="s">
        <v>18</v>
      </c>
      <c r="I90" s="10"/>
      <c r="J90" s="11" t="n">
        <f aca="false">INT((ROW()-2)/50)+1</f>
        <v>2</v>
      </c>
      <c r="K90" s="11" t="str">
        <f aca="false">IF(H90="","Pending",IF(OR(H90="0",H90="1",H90="2",H90="U"),"Complete","Invalid"))</f>
        <v>Complete</v>
      </c>
    </row>
    <row r="91" customFormat="false" ht="84" hidden="false" customHeight="true" outlineLevel="0" collapsed="false">
      <c r="A91" s="8" t="s">
        <v>329</v>
      </c>
      <c r="B91" s="8" t="s">
        <v>129</v>
      </c>
      <c r="C91" s="8" t="s">
        <v>130</v>
      </c>
      <c r="D91" s="8" t="s">
        <v>131</v>
      </c>
      <c r="E91" s="8" t="s">
        <v>182</v>
      </c>
      <c r="F91" s="8" t="s">
        <v>66</v>
      </c>
      <c r="G91" s="8" t="s">
        <v>183</v>
      </c>
      <c r="H91" s="9" t="s">
        <v>18</v>
      </c>
      <c r="I91" s="10"/>
      <c r="J91" s="11" t="n">
        <f aca="false">INT((ROW()-2)/50)+1</f>
        <v>2</v>
      </c>
      <c r="K91" s="11" t="str">
        <f aca="false">IF(H91="","Pending",IF(OR(H91="0",H91="1",H91="2",H91="U"),"Complete","Invalid"))</f>
        <v>Complete</v>
      </c>
    </row>
    <row r="92" customFormat="false" ht="84" hidden="false" customHeight="true" outlineLevel="0" collapsed="false">
      <c r="A92" s="8" t="s">
        <v>330</v>
      </c>
      <c r="B92" s="8" t="s">
        <v>189</v>
      </c>
      <c r="C92" s="8" t="s">
        <v>190</v>
      </c>
      <c r="D92" s="8" t="s">
        <v>191</v>
      </c>
      <c r="E92" s="8" t="s">
        <v>205</v>
      </c>
      <c r="F92" s="8" t="s">
        <v>38</v>
      </c>
      <c r="G92" s="8" t="s">
        <v>206</v>
      </c>
      <c r="H92" s="9" t="s">
        <v>18</v>
      </c>
      <c r="I92" s="10"/>
      <c r="J92" s="11" t="n">
        <f aca="false">INT((ROW()-2)/50)+1</f>
        <v>2</v>
      </c>
      <c r="K92" s="11" t="str">
        <f aca="false">IF(H92="","Pending",IF(OR(H92="0",H92="1",H92="2",H92="U"),"Complete","Invalid"))</f>
        <v>Complete</v>
      </c>
    </row>
    <row r="93" customFormat="false" ht="84" hidden="false" customHeight="true" outlineLevel="0" collapsed="false">
      <c r="A93" s="8" t="s">
        <v>331</v>
      </c>
      <c r="B93" s="8" t="s">
        <v>20</v>
      </c>
      <c r="C93" s="8" t="s">
        <v>21</v>
      </c>
      <c r="D93" s="8" t="s">
        <v>22</v>
      </c>
      <c r="E93" s="8" t="s">
        <v>332</v>
      </c>
      <c r="F93" s="8" t="s">
        <v>31</v>
      </c>
      <c r="G93" s="8" t="s">
        <v>333</v>
      </c>
      <c r="H93" s="9" t="s">
        <v>18</v>
      </c>
      <c r="I93" s="10"/>
      <c r="J93" s="11" t="n">
        <f aca="false">INT((ROW()-2)/50)+1</f>
        <v>2</v>
      </c>
      <c r="K93" s="11" t="str">
        <f aca="false">IF(H93="","Pending",IF(OR(H93="0",H93="1",H93="2",H93="U"),"Complete","Invalid"))</f>
        <v>Complete</v>
      </c>
    </row>
    <row r="94" customFormat="false" ht="84" hidden="false" customHeight="true" outlineLevel="0" collapsed="false">
      <c r="A94" s="8" t="s">
        <v>334</v>
      </c>
      <c r="B94" s="8" t="s">
        <v>209</v>
      </c>
      <c r="C94" s="8" t="s">
        <v>210</v>
      </c>
      <c r="D94" s="8" t="s">
        <v>211</v>
      </c>
      <c r="E94" s="8" t="s">
        <v>72</v>
      </c>
      <c r="F94" s="8" t="s">
        <v>73</v>
      </c>
      <c r="G94" s="8" t="s">
        <v>74</v>
      </c>
      <c r="H94" s="9" t="s">
        <v>18</v>
      </c>
      <c r="I94" s="10"/>
      <c r="J94" s="11" t="n">
        <f aca="false">INT((ROW()-2)/50)+1</f>
        <v>2</v>
      </c>
      <c r="K94" s="11" t="str">
        <f aca="false">IF(H94="","Pending",IF(OR(H94="0",H94="1",H94="2",H94="U"),"Complete","Invalid"))</f>
        <v>Complete</v>
      </c>
    </row>
    <row r="95" customFormat="false" ht="84" hidden="false" customHeight="true" outlineLevel="0" collapsed="false">
      <c r="A95" s="8" t="s">
        <v>335</v>
      </c>
      <c r="B95" s="8" t="s">
        <v>76</v>
      </c>
      <c r="C95" s="8" t="s">
        <v>77</v>
      </c>
      <c r="D95" s="8" t="s">
        <v>78</v>
      </c>
      <c r="E95" s="8" t="s">
        <v>336</v>
      </c>
      <c r="F95" s="8" t="s">
        <v>55</v>
      </c>
      <c r="G95" s="8" t="s">
        <v>337</v>
      </c>
      <c r="H95" s="9" t="s">
        <v>18</v>
      </c>
      <c r="I95" s="10"/>
      <c r="J95" s="11" t="n">
        <f aca="false">INT((ROW()-2)/50)+1</f>
        <v>2</v>
      </c>
      <c r="K95" s="11" t="str">
        <f aca="false">IF(H95="","Pending",IF(OR(H95="0",H95="1",H95="2",H95="U"),"Complete","Invalid"))</f>
        <v>Complete</v>
      </c>
    </row>
    <row r="96" customFormat="false" ht="84" hidden="false" customHeight="true" outlineLevel="0" collapsed="false">
      <c r="A96" s="8" t="s">
        <v>338</v>
      </c>
      <c r="B96" s="8" t="s">
        <v>58</v>
      </c>
      <c r="C96" s="8" t="s">
        <v>59</v>
      </c>
      <c r="D96" s="8" t="s">
        <v>60</v>
      </c>
      <c r="E96" s="8" t="s">
        <v>307</v>
      </c>
      <c r="F96" s="8" t="s">
        <v>31</v>
      </c>
      <c r="G96" s="8" t="s">
        <v>308</v>
      </c>
      <c r="H96" s="9" t="s">
        <v>18</v>
      </c>
      <c r="I96" s="10"/>
      <c r="J96" s="11" t="n">
        <f aca="false">INT((ROW()-2)/50)+1</f>
        <v>2</v>
      </c>
      <c r="K96" s="11" t="str">
        <f aca="false">IF(H96="","Pending",IF(OR(H96="0",H96="1",H96="2",H96="U"),"Complete","Invalid"))</f>
        <v>Complete</v>
      </c>
    </row>
    <row r="97" customFormat="false" ht="84" hidden="false" customHeight="true" outlineLevel="0" collapsed="false">
      <c r="A97" s="8" t="s">
        <v>339</v>
      </c>
      <c r="B97" s="8" t="s">
        <v>171</v>
      </c>
      <c r="C97" s="8" t="s">
        <v>172</v>
      </c>
      <c r="D97" s="8" t="s">
        <v>173</v>
      </c>
      <c r="E97" s="8" t="s">
        <v>252</v>
      </c>
      <c r="F97" s="8" t="s">
        <v>138</v>
      </c>
      <c r="G97" s="8" t="s">
        <v>253</v>
      </c>
      <c r="H97" s="9" t="s">
        <v>18</v>
      </c>
      <c r="I97" s="10"/>
      <c r="J97" s="11" t="n">
        <f aca="false">INT((ROW()-2)/50)+1</f>
        <v>2</v>
      </c>
      <c r="K97" s="11" t="str">
        <f aca="false">IF(H97="","Pending",IF(OR(H97="0",H97="1",H97="2",H97="U"),"Complete","Invalid"))</f>
        <v>Complete</v>
      </c>
    </row>
    <row r="98" customFormat="false" ht="84" hidden="false" customHeight="true" outlineLevel="0" collapsed="false">
      <c r="A98" s="8" t="s">
        <v>340</v>
      </c>
      <c r="B98" s="8" t="s">
        <v>341</v>
      </c>
      <c r="C98" s="8" t="s">
        <v>342</v>
      </c>
      <c r="D98" s="8" t="s">
        <v>343</v>
      </c>
      <c r="E98" s="8" t="s">
        <v>344</v>
      </c>
      <c r="F98" s="8" t="s">
        <v>142</v>
      </c>
      <c r="G98" s="8" t="s">
        <v>345</v>
      </c>
      <c r="H98" s="9" t="s">
        <v>18</v>
      </c>
      <c r="I98" s="10" t="s">
        <v>346</v>
      </c>
      <c r="J98" s="11" t="n">
        <f aca="false">INT((ROW()-2)/50)+1</f>
        <v>2</v>
      </c>
      <c r="K98" s="11" t="str">
        <f aca="false">IF(H98="","Pending",IF(OR(H98="0",H98="1",H98="2",H98="U"),"Complete","Invalid"))</f>
        <v>Complete</v>
      </c>
    </row>
    <row r="99" customFormat="false" ht="84" hidden="false" customHeight="true" outlineLevel="0" collapsed="false">
      <c r="A99" s="8" t="s">
        <v>347</v>
      </c>
      <c r="B99" s="8" t="s">
        <v>171</v>
      </c>
      <c r="C99" s="8" t="s">
        <v>172</v>
      </c>
      <c r="D99" s="8" t="s">
        <v>173</v>
      </c>
      <c r="E99" s="8" t="s">
        <v>179</v>
      </c>
      <c r="F99" s="8" t="s">
        <v>66</v>
      </c>
      <c r="G99" s="8" t="s">
        <v>180</v>
      </c>
      <c r="H99" s="9" t="s">
        <v>18</v>
      </c>
      <c r="I99" s="10"/>
      <c r="J99" s="11" t="n">
        <f aca="false">INT((ROW()-2)/50)+1</f>
        <v>2</v>
      </c>
      <c r="K99" s="11" t="str">
        <f aca="false">IF(H99="","Pending",IF(OR(H99="0",H99="1",H99="2",H99="U"),"Complete","Invalid"))</f>
        <v>Complete</v>
      </c>
    </row>
    <row r="100" customFormat="false" ht="84" hidden="false" customHeight="true" outlineLevel="0" collapsed="false">
      <c r="A100" s="8" t="s">
        <v>348</v>
      </c>
      <c r="B100" s="8" t="s">
        <v>223</v>
      </c>
      <c r="C100" s="8" t="s">
        <v>224</v>
      </c>
      <c r="D100" s="8" t="s">
        <v>225</v>
      </c>
      <c r="E100" s="8" t="s">
        <v>15</v>
      </c>
      <c r="F100" s="8" t="s">
        <v>16</v>
      </c>
      <c r="G100" s="8" t="s">
        <v>17</v>
      </c>
      <c r="H100" s="9" t="s">
        <v>18</v>
      </c>
      <c r="I100" s="10"/>
      <c r="J100" s="11" t="n">
        <f aca="false">INT((ROW()-2)/50)+1</f>
        <v>2</v>
      </c>
      <c r="K100" s="11" t="str">
        <f aca="false">IF(H100="","Pending",IF(OR(H100="0",H100="1",H100="2",H100="U"),"Complete","Invalid"))</f>
        <v>Complete</v>
      </c>
    </row>
    <row r="101" customFormat="false" ht="84" hidden="false" customHeight="true" outlineLevel="0" collapsed="false">
      <c r="A101" s="8" t="s">
        <v>349</v>
      </c>
      <c r="B101" s="8" t="s">
        <v>105</v>
      </c>
      <c r="C101" s="8" t="s">
        <v>106</v>
      </c>
      <c r="D101" s="8" t="s">
        <v>107</v>
      </c>
      <c r="E101" s="8" t="s">
        <v>126</v>
      </c>
      <c r="F101" s="8" t="s">
        <v>73</v>
      </c>
      <c r="G101" s="8" t="s">
        <v>127</v>
      </c>
      <c r="H101" s="9" t="s">
        <v>18</v>
      </c>
      <c r="I101" s="10"/>
      <c r="J101" s="11" t="n">
        <f aca="false">INT((ROW()-2)/50)+1</f>
        <v>2</v>
      </c>
      <c r="K101" s="11" t="str">
        <f aca="false">IF(H101="","Pending",IF(OR(H101="0",H101="1",H101="2",H101="U"),"Complete","Invalid"))</f>
        <v>Complete</v>
      </c>
    </row>
    <row r="102" customFormat="false" ht="84" hidden="false" customHeight="true" outlineLevel="0" collapsed="false">
      <c r="A102" s="8" t="s">
        <v>350</v>
      </c>
      <c r="B102" s="8" t="s">
        <v>105</v>
      </c>
      <c r="C102" s="8" t="s">
        <v>106</v>
      </c>
      <c r="D102" s="8" t="s">
        <v>107</v>
      </c>
      <c r="E102" s="8" t="s">
        <v>137</v>
      </c>
      <c r="F102" s="8" t="s">
        <v>138</v>
      </c>
      <c r="G102" s="8" t="s">
        <v>139</v>
      </c>
      <c r="H102" s="9" t="s">
        <v>18</v>
      </c>
      <c r="I102" s="10"/>
      <c r="J102" s="11" t="n">
        <f aca="false">INT((ROW()-2)/50)+1</f>
        <v>3</v>
      </c>
      <c r="K102" s="11" t="str">
        <f aca="false">IF(H102="","Pending",IF(OR(H102="0",H102="1",H102="2",H102="U"),"Complete","Invalid"))</f>
        <v>Complete</v>
      </c>
    </row>
    <row r="103" customFormat="false" ht="84" hidden="false" customHeight="true" outlineLevel="0" collapsed="false">
      <c r="A103" s="8" t="s">
        <v>351</v>
      </c>
      <c r="B103" s="8" t="s">
        <v>69</v>
      </c>
      <c r="C103" s="8" t="s">
        <v>70</v>
      </c>
      <c r="D103" s="8" t="s">
        <v>71</v>
      </c>
      <c r="E103" s="8" t="s">
        <v>195</v>
      </c>
      <c r="F103" s="8" t="s">
        <v>95</v>
      </c>
      <c r="G103" s="8" t="s">
        <v>196</v>
      </c>
      <c r="H103" s="9" t="s">
        <v>18</v>
      </c>
      <c r="I103" s="10"/>
      <c r="J103" s="11" t="n">
        <f aca="false">INT((ROW()-2)/50)+1</f>
        <v>3</v>
      </c>
      <c r="K103" s="11" t="str">
        <f aca="false">IF(H103="","Pending",IF(OR(H103="0",H103="1",H103="2",H103="U"),"Complete","Invalid"))</f>
        <v>Complete</v>
      </c>
    </row>
    <row r="104" customFormat="false" ht="84" hidden="false" customHeight="true" outlineLevel="0" collapsed="false">
      <c r="A104" s="8" t="s">
        <v>352</v>
      </c>
      <c r="B104" s="8" t="s">
        <v>91</v>
      </c>
      <c r="C104" s="8" t="s">
        <v>92</v>
      </c>
      <c r="D104" s="8" t="s">
        <v>93</v>
      </c>
      <c r="E104" s="8" t="s">
        <v>353</v>
      </c>
      <c r="F104" s="8" t="s">
        <v>38</v>
      </c>
      <c r="G104" s="8" t="s">
        <v>354</v>
      </c>
      <c r="H104" s="9" t="s">
        <v>18</v>
      </c>
      <c r="I104" s="10"/>
      <c r="J104" s="11" t="n">
        <f aca="false">INT((ROW()-2)/50)+1</f>
        <v>3</v>
      </c>
      <c r="K104" s="11" t="str">
        <f aca="false">IF(H104="","Pending",IF(OR(H104="0",H104="1",H104="2",H104="U"),"Complete","Invalid"))</f>
        <v>Complete</v>
      </c>
    </row>
    <row r="105" customFormat="false" ht="84" hidden="false" customHeight="true" outlineLevel="0" collapsed="false">
      <c r="A105" s="8" t="s">
        <v>355</v>
      </c>
      <c r="B105" s="8" t="s">
        <v>34</v>
      </c>
      <c r="C105" s="8" t="s">
        <v>35</v>
      </c>
      <c r="D105" s="8" t="s">
        <v>36</v>
      </c>
      <c r="E105" s="8" t="s">
        <v>356</v>
      </c>
      <c r="F105" s="8" t="s">
        <v>66</v>
      </c>
      <c r="G105" s="8" t="s">
        <v>357</v>
      </c>
      <c r="H105" s="9" t="s">
        <v>18</v>
      </c>
      <c r="I105" s="10"/>
      <c r="J105" s="11" t="n">
        <f aca="false">INT((ROW()-2)/50)+1</f>
        <v>3</v>
      </c>
      <c r="K105" s="11" t="str">
        <f aca="false">IF(H105="","Pending",IF(OR(H105="0",H105="1",H105="2",H105="U"),"Complete","Invalid"))</f>
        <v>Complete</v>
      </c>
    </row>
    <row r="106" customFormat="false" ht="84" hidden="false" customHeight="true" outlineLevel="0" collapsed="false">
      <c r="A106" s="8" t="s">
        <v>358</v>
      </c>
      <c r="B106" s="8" t="s">
        <v>69</v>
      </c>
      <c r="C106" s="8" t="s">
        <v>70</v>
      </c>
      <c r="D106" s="8" t="s">
        <v>71</v>
      </c>
      <c r="E106" s="8" t="s">
        <v>319</v>
      </c>
      <c r="F106" s="8" t="s">
        <v>62</v>
      </c>
      <c r="G106" s="8" t="s">
        <v>320</v>
      </c>
      <c r="H106" s="9" t="s">
        <v>18</v>
      </c>
      <c r="I106" s="10"/>
      <c r="J106" s="11" t="n">
        <f aca="false">INT((ROW()-2)/50)+1</f>
        <v>3</v>
      </c>
      <c r="K106" s="11" t="str">
        <f aca="false">IF(H106="","Pending",IF(OR(H106="0",H106="1",H106="2",H106="U"),"Complete","Invalid"))</f>
        <v>Complete</v>
      </c>
    </row>
    <row r="107" customFormat="false" ht="84" hidden="false" customHeight="true" outlineLevel="0" collapsed="false">
      <c r="A107" s="8" t="s">
        <v>359</v>
      </c>
      <c r="B107" s="8" t="s">
        <v>105</v>
      </c>
      <c r="C107" s="8" t="s">
        <v>106</v>
      </c>
      <c r="D107" s="8" t="s">
        <v>107</v>
      </c>
      <c r="E107" s="8" t="s">
        <v>54</v>
      </c>
      <c r="F107" s="8" t="s">
        <v>55</v>
      </c>
      <c r="G107" s="8" t="s">
        <v>56</v>
      </c>
      <c r="H107" s="9" t="s">
        <v>18</v>
      </c>
      <c r="I107" s="10"/>
      <c r="J107" s="11" t="n">
        <f aca="false">INT((ROW()-2)/50)+1</f>
        <v>3</v>
      </c>
      <c r="K107" s="11" t="str">
        <f aca="false">IF(H107="","Pending",IF(OR(H107="0",H107="1",H107="2",H107="U"),"Complete","Invalid"))</f>
        <v>Complete</v>
      </c>
    </row>
    <row r="108" customFormat="false" ht="84" hidden="false" customHeight="true" outlineLevel="0" collapsed="false">
      <c r="A108" s="8" t="s">
        <v>360</v>
      </c>
      <c r="B108" s="8" t="s">
        <v>219</v>
      </c>
      <c r="C108" s="8" t="s">
        <v>220</v>
      </c>
      <c r="D108" s="8" t="s">
        <v>221</v>
      </c>
      <c r="E108" s="8" t="s">
        <v>120</v>
      </c>
      <c r="F108" s="8" t="s">
        <v>31</v>
      </c>
      <c r="G108" s="8" t="s">
        <v>121</v>
      </c>
      <c r="H108" s="9" t="s">
        <v>18</v>
      </c>
      <c r="I108" s="10"/>
      <c r="J108" s="11" t="n">
        <f aca="false">INT((ROW()-2)/50)+1</f>
        <v>3</v>
      </c>
      <c r="K108" s="11" t="str">
        <f aca="false">IF(H108="","Pending",IF(OR(H108="0",H108="1",H108="2",H108="U"),"Complete","Invalid"))</f>
        <v>Complete</v>
      </c>
    </row>
    <row r="109" customFormat="false" ht="84" hidden="false" customHeight="true" outlineLevel="0" collapsed="false">
      <c r="A109" s="8" t="s">
        <v>361</v>
      </c>
      <c r="B109" s="8" t="s">
        <v>134</v>
      </c>
      <c r="C109" s="8" t="s">
        <v>135</v>
      </c>
      <c r="D109" s="8" t="s">
        <v>136</v>
      </c>
      <c r="E109" s="8" t="s">
        <v>83</v>
      </c>
      <c r="F109" s="8" t="s">
        <v>84</v>
      </c>
      <c r="G109" s="8" t="s">
        <v>85</v>
      </c>
      <c r="H109" s="9" t="s">
        <v>18</v>
      </c>
      <c r="I109" s="10"/>
      <c r="J109" s="11" t="n">
        <f aca="false">INT((ROW()-2)/50)+1</f>
        <v>3</v>
      </c>
      <c r="K109" s="11" t="str">
        <f aca="false">IF(H109="","Pending",IF(OR(H109="0",H109="1",H109="2",H109="U"),"Complete","Invalid"))</f>
        <v>Complete</v>
      </c>
    </row>
    <row r="110" customFormat="false" ht="84" hidden="false" customHeight="true" outlineLevel="0" collapsed="false">
      <c r="A110" s="8" t="s">
        <v>362</v>
      </c>
      <c r="B110" s="8" t="s">
        <v>27</v>
      </c>
      <c r="C110" s="8" t="s">
        <v>28</v>
      </c>
      <c r="D110" s="8" t="s">
        <v>29</v>
      </c>
      <c r="E110" s="8" t="s">
        <v>145</v>
      </c>
      <c r="F110" s="8" t="s">
        <v>95</v>
      </c>
      <c r="G110" s="8" t="s">
        <v>146</v>
      </c>
      <c r="H110" s="9" t="s">
        <v>132</v>
      </c>
      <c r="I110" s="10"/>
      <c r="J110" s="11" t="n">
        <f aca="false">INT((ROW()-2)/50)+1</f>
        <v>3</v>
      </c>
      <c r="K110" s="11" t="str">
        <f aca="false">IF(H110="","Pending",IF(OR(H110="0",H110="1",H110="2",H110="U"),"Complete","Invalid"))</f>
        <v>Complete</v>
      </c>
    </row>
    <row r="111" customFormat="false" ht="84" hidden="false" customHeight="true" outlineLevel="0" collapsed="false">
      <c r="A111" s="8" t="s">
        <v>363</v>
      </c>
      <c r="B111" s="8" t="s">
        <v>248</v>
      </c>
      <c r="C111" s="8" t="s">
        <v>249</v>
      </c>
      <c r="D111" s="8" t="s">
        <v>250</v>
      </c>
      <c r="E111" s="8" t="s">
        <v>195</v>
      </c>
      <c r="F111" s="8" t="s">
        <v>95</v>
      </c>
      <c r="G111" s="8" t="s">
        <v>196</v>
      </c>
      <c r="H111" s="9" t="s">
        <v>18</v>
      </c>
      <c r="I111" s="10"/>
      <c r="J111" s="11" t="n">
        <f aca="false">INT((ROW()-2)/50)+1</f>
        <v>3</v>
      </c>
      <c r="K111" s="11" t="str">
        <f aca="false">IF(H111="","Pending",IF(OR(H111="0",H111="1",H111="2",H111="U"),"Complete","Invalid"))</f>
        <v>Complete</v>
      </c>
    </row>
    <row r="112" customFormat="false" ht="84" hidden="false" customHeight="true" outlineLevel="0" collapsed="false">
      <c r="A112" s="8" t="s">
        <v>364</v>
      </c>
      <c r="B112" s="8" t="s">
        <v>76</v>
      </c>
      <c r="C112" s="8" t="s">
        <v>77</v>
      </c>
      <c r="D112" s="8" t="s">
        <v>78</v>
      </c>
      <c r="E112" s="8" t="s">
        <v>186</v>
      </c>
      <c r="F112" s="8" t="s">
        <v>73</v>
      </c>
      <c r="G112" s="8" t="s">
        <v>187</v>
      </c>
      <c r="H112" s="9" t="s">
        <v>18</v>
      </c>
      <c r="I112" s="10"/>
      <c r="J112" s="11" t="n">
        <f aca="false">INT((ROW()-2)/50)+1</f>
        <v>3</v>
      </c>
      <c r="K112" s="11" t="str">
        <f aca="false">IF(H112="","Pending",IF(OR(H112="0",H112="1",H112="2",H112="U"),"Complete","Invalid"))</f>
        <v>Complete</v>
      </c>
    </row>
    <row r="113" customFormat="false" ht="84" hidden="false" customHeight="true" outlineLevel="0" collapsed="false">
      <c r="A113" s="8" t="s">
        <v>365</v>
      </c>
      <c r="B113" s="8" t="s">
        <v>20</v>
      </c>
      <c r="C113" s="8" t="s">
        <v>21</v>
      </c>
      <c r="D113" s="8" t="s">
        <v>22</v>
      </c>
      <c r="E113" s="8" t="s">
        <v>336</v>
      </c>
      <c r="F113" s="8" t="s">
        <v>55</v>
      </c>
      <c r="G113" s="8" t="s">
        <v>337</v>
      </c>
      <c r="H113" s="9" t="s">
        <v>18</v>
      </c>
      <c r="I113" s="10"/>
      <c r="J113" s="11" t="n">
        <f aca="false">INT((ROW()-2)/50)+1</f>
        <v>3</v>
      </c>
      <c r="K113" s="11" t="str">
        <f aca="false">IF(H113="","Pending",IF(OR(H113="0",H113="1",H113="2",H113="U"),"Complete","Invalid"))</f>
        <v>Complete</v>
      </c>
    </row>
    <row r="114" customFormat="false" ht="84" hidden="false" customHeight="true" outlineLevel="0" collapsed="false">
      <c r="A114" s="8" t="s">
        <v>366</v>
      </c>
      <c r="B114" s="8" t="s">
        <v>27</v>
      </c>
      <c r="C114" s="8" t="s">
        <v>28</v>
      </c>
      <c r="D114" s="8" t="s">
        <v>29</v>
      </c>
      <c r="E114" s="8" t="s">
        <v>205</v>
      </c>
      <c r="F114" s="8" t="s">
        <v>38</v>
      </c>
      <c r="G114" s="8" t="s">
        <v>206</v>
      </c>
      <c r="H114" s="9" t="s">
        <v>18</v>
      </c>
      <c r="I114" s="10"/>
      <c r="J114" s="11" t="n">
        <f aca="false">INT((ROW()-2)/50)+1</f>
        <v>3</v>
      </c>
      <c r="K114" s="11" t="str">
        <f aca="false">IF(H114="","Pending",IF(OR(H114="0",H114="1",H114="2",H114="U"),"Complete","Invalid"))</f>
        <v>Complete</v>
      </c>
    </row>
    <row r="115" customFormat="false" ht="84" hidden="false" customHeight="true" outlineLevel="0" collapsed="false">
      <c r="A115" s="8" t="s">
        <v>367</v>
      </c>
      <c r="B115" s="8" t="s">
        <v>45</v>
      </c>
      <c r="C115" s="8" t="s">
        <v>46</v>
      </c>
      <c r="D115" s="8" t="s">
        <v>47</v>
      </c>
      <c r="E115" s="8" t="s">
        <v>368</v>
      </c>
      <c r="F115" s="8" t="s">
        <v>369</v>
      </c>
      <c r="G115" s="8" t="s">
        <v>370</v>
      </c>
      <c r="H115" s="9" t="s">
        <v>18</v>
      </c>
      <c r="I115" s="10"/>
      <c r="J115" s="11" t="n">
        <f aca="false">INT((ROW()-2)/50)+1</f>
        <v>3</v>
      </c>
      <c r="K115" s="11" t="str">
        <f aca="false">IF(H115="","Pending",IF(OR(H115="0",H115="1",H115="2",H115="U"),"Complete","Invalid"))</f>
        <v>Complete</v>
      </c>
    </row>
    <row r="116" customFormat="false" ht="84" hidden="false" customHeight="true" outlineLevel="0" collapsed="false">
      <c r="A116" s="8" t="s">
        <v>371</v>
      </c>
      <c r="B116" s="8" t="s">
        <v>155</v>
      </c>
      <c r="C116" s="8" t="s">
        <v>156</v>
      </c>
      <c r="D116" s="8" t="s">
        <v>157</v>
      </c>
      <c r="E116" s="8" t="s">
        <v>372</v>
      </c>
      <c r="F116" s="8" t="s">
        <v>55</v>
      </c>
      <c r="G116" s="8" t="s">
        <v>373</v>
      </c>
      <c r="H116" s="9" t="s">
        <v>132</v>
      </c>
      <c r="I116" s="10"/>
      <c r="J116" s="11" t="n">
        <f aca="false">INT((ROW()-2)/50)+1</f>
        <v>3</v>
      </c>
      <c r="K116" s="11" t="str">
        <f aca="false">IF(H116="","Pending",IF(OR(H116="0",H116="1",H116="2",H116="U"),"Complete","Invalid"))</f>
        <v>Complete</v>
      </c>
    </row>
    <row r="117" customFormat="false" ht="84" hidden="false" customHeight="true" outlineLevel="0" collapsed="false">
      <c r="A117" s="8" t="s">
        <v>374</v>
      </c>
      <c r="B117" s="8" t="s">
        <v>238</v>
      </c>
      <c r="C117" s="8" t="s">
        <v>239</v>
      </c>
      <c r="D117" s="8" t="s">
        <v>240</v>
      </c>
      <c r="E117" s="8" t="s">
        <v>375</v>
      </c>
      <c r="F117" s="8" t="s">
        <v>216</v>
      </c>
      <c r="G117" s="8" t="s">
        <v>376</v>
      </c>
      <c r="H117" s="9" t="s">
        <v>18</v>
      </c>
      <c r="I117" s="10"/>
      <c r="J117" s="11" t="n">
        <f aca="false">INT((ROW()-2)/50)+1</f>
        <v>3</v>
      </c>
      <c r="K117" s="11" t="str">
        <f aca="false">IF(H117="","Pending",IF(OR(H117="0",H117="1",H117="2",H117="U"),"Complete","Invalid"))</f>
        <v>Complete</v>
      </c>
    </row>
    <row r="118" customFormat="false" ht="84" hidden="false" customHeight="true" outlineLevel="0" collapsed="false">
      <c r="A118" s="8" t="s">
        <v>377</v>
      </c>
      <c r="B118" s="8" t="s">
        <v>45</v>
      </c>
      <c r="C118" s="8" t="s">
        <v>46</v>
      </c>
      <c r="D118" s="8" t="s">
        <v>47</v>
      </c>
      <c r="E118" s="8" t="s">
        <v>201</v>
      </c>
      <c r="F118" s="8" t="s">
        <v>202</v>
      </c>
      <c r="G118" s="8" t="s">
        <v>203</v>
      </c>
      <c r="H118" s="9" t="s">
        <v>132</v>
      </c>
      <c r="I118" s="10"/>
      <c r="J118" s="11" t="n">
        <f aca="false">INT((ROW()-2)/50)+1</f>
        <v>3</v>
      </c>
      <c r="K118" s="11" t="str">
        <f aca="false">IF(H118="","Pending",IF(OR(H118="0",H118="1",H118="2",H118="U"),"Complete","Invalid"))</f>
        <v>Complete</v>
      </c>
    </row>
    <row r="119" customFormat="false" ht="84" hidden="false" customHeight="true" outlineLevel="0" collapsed="false">
      <c r="A119" s="8" t="s">
        <v>378</v>
      </c>
      <c r="B119" s="8" t="s">
        <v>148</v>
      </c>
      <c r="C119" s="8" t="s">
        <v>149</v>
      </c>
      <c r="D119" s="8" t="s">
        <v>150</v>
      </c>
      <c r="E119" s="8" t="s">
        <v>379</v>
      </c>
      <c r="F119" s="8" t="s">
        <v>380</v>
      </c>
      <c r="G119" s="8" t="s">
        <v>381</v>
      </c>
      <c r="H119" s="9" t="s">
        <v>132</v>
      </c>
      <c r="I119" s="10"/>
      <c r="J119" s="11" t="n">
        <f aca="false">INT((ROW()-2)/50)+1</f>
        <v>3</v>
      </c>
      <c r="K119" s="11" t="str">
        <f aca="false">IF(H119="","Pending",IF(OR(H119="0",H119="1",H119="2",H119="U"),"Complete","Invalid"))</f>
        <v>Complete</v>
      </c>
    </row>
    <row r="120" customFormat="false" ht="84" hidden="false" customHeight="true" outlineLevel="0" collapsed="false">
      <c r="A120" s="8" t="s">
        <v>382</v>
      </c>
      <c r="B120" s="8" t="s">
        <v>80</v>
      </c>
      <c r="C120" s="8" t="s">
        <v>81</v>
      </c>
      <c r="D120" s="8" t="s">
        <v>82</v>
      </c>
      <c r="E120" s="8" t="s">
        <v>383</v>
      </c>
      <c r="F120" s="8" t="s">
        <v>380</v>
      </c>
      <c r="G120" s="8" t="s">
        <v>384</v>
      </c>
      <c r="H120" s="9" t="s">
        <v>18</v>
      </c>
      <c r="I120" s="10"/>
      <c r="J120" s="11" t="n">
        <f aca="false">INT((ROW()-2)/50)+1</f>
        <v>3</v>
      </c>
      <c r="K120" s="11" t="str">
        <f aca="false">IF(H120="","Pending",IF(OR(H120="0",H120="1",H120="2",H120="U"),"Complete","Invalid"))</f>
        <v>Complete</v>
      </c>
    </row>
    <row r="121" customFormat="false" ht="84" hidden="false" customHeight="true" outlineLevel="0" collapsed="false">
      <c r="A121" s="8" t="s">
        <v>385</v>
      </c>
      <c r="B121" s="8" t="s">
        <v>27</v>
      </c>
      <c r="C121" s="8" t="s">
        <v>28</v>
      </c>
      <c r="D121" s="8" t="s">
        <v>29</v>
      </c>
      <c r="E121" s="8" t="s">
        <v>108</v>
      </c>
      <c r="F121" s="8" t="s">
        <v>109</v>
      </c>
      <c r="G121" s="8" t="s">
        <v>110</v>
      </c>
      <c r="H121" s="9" t="s">
        <v>18</v>
      </c>
      <c r="I121" s="10"/>
      <c r="J121" s="11" t="n">
        <f aca="false">INT((ROW()-2)/50)+1</f>
        <v>3</v>
      </c>
      <c r="K121" s="11" t="str">
        <f aca="false">IF(H121="","Pending",IF(OR(H121="0",H121="1",H121="2",H121="U"),"Complete","Invalid"))</f>
        <v>Complete</v>
      </c>
    </row>
    <row r="122" customFormat="false" ht="84" hidden="false" customHeight="true" outlineLevel="0" collapsed="false">
      <c r="A122" s="8" t="s">
        <v>386</v>
      </c>
      <c r="B122" s="8" t="s">
        <v>51</v>
      </c>
      <c r="C122" s="8" t="s">
        <v>52</v>
      </c>
      <c r="D122" s="8" t="s">
        <v>53</v>
      </c>
      <c r="E122" s="8" t="s">
        <v>235</v>
      </c>
      <c r="F122" s="8" t="s">
        <v>16</v>
      </c>
      <c r="G122" s="8" t="s">
        <v>236</v>
      </c>
      <c r="H122" s="9" t="s">
        <v>18</v>
      </c>
      <c r="I122" s="10"/>
      <c r="J122" s="11" t="n">
        <f aca="false">INT((ROW()-2)/50)+1</f>
        <v>3</v>
      </c>
      <c r="K122" s="11" t="str">
        <f aca="false">IF(H122="","Pending",IF(OR(H122="0",H122="1",H122="2",H122="U"),"Complete","Invalid"))</f>
        <v>Complete</v>
      </c>
    </row>
    <row r="123" customFormat="false" ht="84" hidden="false" customHeight="true" outlineLevel="0" collapsed="false">
      <c r="A123" s="8" t="s">
        <v>387</v>
      </c>
      <c r="B123" s="8" t="s">
        <v>58</v>
      </c>
      <c r="C123" s="8" t="s">
        <v>59</v>
      </c>
      <c r="D123" s="8" t="s">
        <v>60</v>
      </c>
      <c r="E123" s="8" t="s">
        <v>145</v>
      </c>
      <c r="F123" s="8" t="s">
        <v>95</v>
      </c>
      <c r="G123" s="8" t="s">
        <v>146</v>
      </c>
      <c r="H123" s="9" t="s">
        <v>18</v>
      </c>
      <c r="I123" s="10"/>
      <c r="J123" s="11" t="n">
        <f aca="false">INT((ROW()-2)/50)+1</f>
        <v>3</v>
      </c>
      <c r="K123" s="11" t="str">
        <f aca="false">IF(H123="","Pending",IF(OR(H123="0",H123="1",H123="2",H123="U"),"Complete","Invalid"))</f>
        <v>Complete</v>
      </c>
    </row>
    <row r="124" customFormat="false" ht="84" hidden="false" customHeight="true" outlineLevel="0" collapsed="false">
      <c r="A124" s="8" t="s">
        <v>388</v>
      </c>
      <c r="B124" s="8" t="s">
        <v>312</v>
      </c>
      <c r="C124" s="8" t="s">
        <v>313</v>
      </c>
      <c r="D124" s="8" t="s">
        <v>314</v>
      </c>
      <c r="E124" s="8" t="s">
        <v>227</v>
      </c>
      <c r="F124" s="8" t="s">
        <v>216</v>
      </c>
      <c r="G124" s="8" t="s">
        <v>228</v>
      </c>
      <c r="H124" s="9" t="s">
        <v>132</v>
      </c>
      <c r="I124" s="10"/>
      <c r="J124" s="11" t="n">
        <f aca="false">INT((ROW()-2)/50)+1</f>
        <v>3</v>
      </c>
      <c r="K124" s="11" t="str">
        <f aca="false">IF(H124="","Pending",IF(OR(H124="0",H124="1",H124="2",H124="U"),"Complete","Invalid"))</f>
        <v>Complete</v>
      </c>
    </row>
    <row r="125" customFormat="false" ht="84" hidden="false" customHeight="true" outlineLevel="0" collapsed="false">
      <c r="A125" s="8" t="s">
        <v>389</v>
      </c>
      <c r="B125" s="8" t="s">
        <v>27</v>
      </c>
      <c r="C125" s="8" t="s">
        <v>28</v>
      </c>
      <c r="D125" s="8" t="s">
        <v>29</v>
      </c>
      <c r="E125" s="8" t="s">
        <v>390</v>
      </c>
      <c r="F125" s="8" t="s">
        <v>31</v>
      </c>
      <c r="G125" s="8" t="s">
        <v>391</v>
      </c>
      <c r="H125" s="9" t="s">
        <v>18</v>
      </c>
      <c r="I125" s="10"/>
      <c r="J125" s="11" t="n">
        <f aca="false">INT((ROW()-2)/50)+1</f>
        <v>3</v>
      </c>
      <c r="K125" s="11" t="str">
        <f aca="false">IF(H125="","Pending",IF(OR(H125="0",H125="1",H125="2",H125="U"),"Complete","Invalid"))</f>
        <v>Complete</v>
      </c>
    </row>
    <row r="126" customFormat="false" ht="84" hidden="false" customHeight="true" outlineLevel="0" collapsed="false">
      <c r="A126" s="8" t="s">
        <v>392</v>
      </c>
      <c r="B126" s="8" t="s">
        <v>129</v>
      </c>
      <c r="C126" s="8" t="s">
        <v>130</v>
      </c>
      <c r="D126" s="8" t="s">
        <v>131</v>
      </c>
      <c r="E126" s="8" t="s">
        <v>37</v>
      </c>
      <c r="F126" s="8" t="s">
        <v>38</v>
      </c>
      <c r="G126" s="8" t="s">
        <v>39</v>
      </c>
      <c r="H126" s="9" t="s">
        <v>18</v>
      </c>
      <c r="I126" s="10"/>
      <c r="J126" s="11" t="n">
        <f aca="false">INT((ROW()-2)/50)+1</f>
        <v>3</v>
      </c>
      <c r="K126" s="11" t="str">
        <f aca="false">IF(H126="","Pending",IF(OR(H126="0",H126="1",H126="2",H126="U"),"Complete","Invalid"))</f>
        <v>Complete</v>
      </c>
    </row>
    <row r="127" customFormat="false" ht="84" hidden="false" customHeight="true" outlineLevel="0" collapsed="false">
      <c r="A127" s="8" t="s">
        <v>393</v>
      </c>
      <c r="B127" s="8" t="s">
        <v>248</v>
      </c>
      <c r="C127" s="8" t="s">
        <v>249</v>
      </c>
      <c r="D127" s="8" t="s">
        <v>250</v>
      </c>
      <c r="E127" s="8" t="s">
        <v>293</v>
      </c>
      <c r="F127" s="8" t="s">
        <v>31</v>
      </c>
      <c r="G127" s="8" t="s">
        <v>294</v>
      </c>
      <c r="H127" s="9" t="s">
        <v>18</v>
      </c>
      <c r="I127" s="10"/>
      <c r="J127" s="11" t="n">
        <f aca="false">INT((ROW()-2)/50)+1</f>
        <v>3</v>
      </c>
      <c r="K127" s="11" t="str">
        <f aca="false">IF(H127="","Pending",IF(OR(H127="0",H127="1",H127="2",H127="U"),"Complete","Invalid"))</f>
        <v>Complete</v>
      </c>
    </row>
    <row r="128" customFormat="false" ht="84" hidden="false" customHeight="true" outlineLevel="0" collapsed="false">
      <c r="A128" s="8" t="s">
        <v>394</v>
      </c>
      <c r="B128" s="8" t="s">
        <v>232</v>
      </c>
      <c r="C128" s="8" t="s">
        <v>233</v>
      </c>
      <c r="D128" s="8" t="s">
        <v>234</v>
      </c>
      <c r="E128" s="8" t="s">
        <v>94</v>
      </c>
      <c r="F128" s="8" t="s">
        <v>95</v>
      </c>
      <c r="G128" s="8" t="s">
        <v>96</v>
      </c>
      <c r="H128" s="9" t="s">
        <v>18</v>
      </c>
      <c r="I128" s="10"/>
      <c r="J128" s="11" t="n">
        <f aca="false">INT((ROW()-2)/50)+1</f>
        <v>3</v>
      </c>
      <c r="K128" s="11" t="str">
        <f aca="false">IF(H128="","Pending",IF(OR(H128="0",H128="1",H128="2",H128="U"),"Complete","Invalid"))</f>
        <v>Complete</v>
      </c>
    </row>
    <row r="129" customFormat="false" ht="84" hidden="false" customHeight="true" outlineLevel="0" collapsed="false">
      <c r="A129" s="8" t="s">
        <v>395</v>
      </c>
      <c r="B129" s="8" t="s">
        <v>167</v>
      </c>
      <c r="C129" s="8" t="s">
        <v>168</v>
      </c>
      <c r="D129" s="8" t="s">
        <v>169</v>
      </c>
      <c r="E129" s="8" t="s">
        <v>112</v>
      </c>
      <c r="F129" s="8" t="s">
        <v>88</v>
      </c>
      <c r="G129" s="8" t="s">
        <v>113</v>
      </c>
      <c r="H129" s="9" t="s">
        <v>114</v>
      </c>
      <c r="I129" s="10" t="s">
        <v>396</v>
      </c>
      <c r="J129" s="11" t="n">
        <f aca="false">INT((ROW()-2)/50)+1</f>
        <v>3</v>
      </c>
      <c r="K129" s="11" t="str">
        <f aca="false">IF(H129="","Pending",IF(OR(H129="0",H129="1",H129="2",H129="U"),"Complete","Invalid"))</f>
        <v>Complete</v>
      </c>
    </row>
    <row r="130" customFormat="false" ht="84" hidden="false" customHeight="true" outlineLevel="0" collapsed="false">
      <c r="A130" s="8" t="s">
        <v>397</v>
      </c>
      <c r="B130" s="8" t="s">
        <v>248</v>
      </c>
      <c r="C130" s="8" t="s">
        <v>249</v>
      </c>
      <c r="D130" s="8" t="s">
        <v>250</v>
      </c>
      <c r="E130" s="8" t="s">
        <v>262</v>
      </c>
      <c r="F130" s="8" t="s">
        <v>263</v>
      </c>
      <c r="G130" s="8" t="s">
        <v>264</v>
      </c>
      <c r="H130" s="9" t="s">
        <v>18</v>
      </c>
      <c r="I130" s="10"/>
      <c r="J130" s="11" t="n">
        <f aca="false">INT((ROW()-2)/50)+1</f>
        <v>3</v>
      </c>
      <c r="K130" s="11" t="str">
        <f aca="false">IF(H130="","Pending",IF(OR(H130="0",H130="1",H130="2",H130="U"),"Complete","Invalid"))</f>
        <v>Complete</v>
      </c>
    </row>
    <row r="131" customFormat="false" ht="84" hidden="false" customHeight="true" outlineLevel="0" collapsed="false">
      <c r="A131" s="8" t="s">
        <v>398</v>
      </c>
      <c r="B131" s="8" t="s">
        <v>232</v>
      </c>
      <c r="C131" s="8" t="s">
        <v>233</v>
      </c>
      <c r="D131" s="8" t="s">
        <v>234</v>
      </c>
      <c r="E131" s="8" t="s">
        <v>195</v>
      </c>
      <c r="F131" s="8" t="s">
        <v>95</v>
      </c>
      <c r="G131" s="8" t="s">
        <v>196</v>
      </c>
      <c r="H131" s="9" t="s">
        <v>18</v>
      </c>
      <c r="I131" s="10"/>
      <c r="J131" s="11" t="n">
        <f aca="false">INT((ROW()-2)/50)+1</f>
        <v>3</v>
      </c>
      <c r="K131" s="11" t="str">
        <f aca="false">IF(H131="","Pending",IF(OR(H131="0",H131="1",H131="2",H131="U"),"Complete","Invalid"))</f>
        <v>Complete</v>
      </c>
    </row>
    <row r="132" customFormat="false" ht="84" hidden="false" customHeight="true" outlineLevel="0" collapsed="false">
      <c r="A132" s="8" t="s">
        <v>399</v>
      </c>
      <c r="B132" s="8" t="s">
        <v>58</v>
      </c>
      <c r="C132" s="8" t="s">
        <v>59</v>
      </c>
      <c r="D132" s="8" t="s">
        <v>60</v>
      </c>
      <c r="E132" s="8" t="s">
        <v>244</v>
      </c>
      <c r="F132" s="8" t="s">
        <v>245</v>
      </c>
      <c r="G132" s="8" t="s">
        <v>246</v>
      </c>
      <c r="H132" s="9" t="s">
        <v>114</v>
      </c>
      <c r="I132" s="10"/>
      <c r="J132" s="11" t="n">
        <f aca="false">INT((ROW()-2)/50)+1</f>
        <v>3</v>
      </c>
      <c r="K132" s="11" t="str">
        <f aca="false">IF(H132="","Pending",IF(OR(H132="0",H132="1",H132="2",H132="U"),"Complete","Invalid"))</f>
        <v>Complete</v>
      </c>
    </row>
    <row r="133" customFormat="false" ht="84" hidden="false" customHeight="true" outlineLevel="0" collapsed="false">
      <c r="A133" s="8" t="s">
        <v>400</v>
      </c>
      <c r="B133" s="8" t="s">
        <v>129</v>
      </c>
      <c r="C133" s="8" t="s">
        <v>130</v>
      </c>
      <c r="D133" s="8" t="s">
        <v>131</v>
      </c>
      <c r="E133" s="8" t="s">
        <v>401</v>
      </c>
      <c r="F133" s="8" t="s">
        <v>31</v>
      </c>
      <c r="G133" s="8" t="s">
        <v>402</v>
      </c>
      <c r="H133" s="9" t="s">
        <v>18</v>
      </c>
      <c r="I133" s="10"/>
      <c r="J133" s="11" t="n">
        <f aca="false">INT((ROW()-2)/50)+1</f>
        <v>3</v>
      </c>
      <c r="K133" s="11" t="str">
        <f aca="false">IF(H133="","Pending",IF(OR(H133="0",H133="1",H133="2",H133="U"),"Complete","Invalid"))</f>
        <v>Complete</v>
      </c>
    </row>
    <row r="134" customFormat="false" ht="84" hidden="false" customHeight="true" outlineLevel="0" collapsed="false">
      <c r="A134" s="8" t="s">
        <v>403</v>
      </c>
      <c r="B134" s="8" t="s">
        <v>12</v>
      </c>
      <c r="C134" s="8" t="s">
        <v>13</v>
      </c>
      <c r="D134" s="8" t="s">
        <v>14</v>
      </c>
      <c r="E134" s="8" t="s">
        <v>404</v>
      </c>
      <c r="F134" s="8" t="s">
        <v>66</v>
      </c>
      <c r="G134" s="8" t="s">
        <v>405</v>
      </c>
      <c r="H134" s="9" t="s">
        <v>114</v>
      </c>
      <c r="I134" s="10"/>
      <c r="J134" s="11" t="n">
        <f aca="false">INT((ROW()-2)/50)+1</f>
        <v>3</v>
      </c>
      <c r="K134" s="11" t="str">
        <f aca="false">IF(H134="","Pending",IF(OR(H134="0",H134="1",H134="2",H134="U"),"Complete","Invalid"))</f>
        <v>Complete</v>
      </c>
    </row>
    <row r="135" customFormat="false" ht="84" hidden="false" customHeight="true" outlineLevel="0" collapsed="false">
      <c r="A135" s="8" t="s">
        <v>406</v>
      </c>
      <c r="B135" s="8" t="s">
        <v>20</v>
      </c>
      <c r="C135" s="8" t="s">
        <v>21</v>
      </c>
      <c r="D135" s="8" t="s">
        <v>22</v>
      </c>
      <c r="E135" s="8" t="s">
        <v>94</v>
      </c>
      <c r="F135" s="8" t="s">
        <v>95</v>
      </c>
      <c r="G135" s="8" t="s">
        <v>96</v>
      </c>
      <c r="H135" s="9" t="s">
        <v>18</v>
      </c>
      <c r="I135" s="10"/>
      <c r="J135" s="11" t="n">
        <f aca="false">INT((ROW()-2)/50)+1</f>
        <v>3</v>
      </c>
      <c r="K135" s="11" t="str">
        <f aca="false">IF(H135="","Pending",IF(OR(H135="0",H135="1",H135="2",H135="U"),"Complete","Invalid"))</f>
        <v>Complete</v>
      </c>
    </row>
    <row r="136" customFormat="false" ht="84" hidden="false" customHeight="true" outlineLevel="0" collapsed="false">
      <c r="A136" s="8" t="s">
        <v>407</v>
      </c>
      <c r="B136" s="8" t="s">
        <v>51</v>
      </c>
      <c r="C136" s="8" t="s">
        <v>52</v>
      </c>
      <c r="D136" s="8" t="s">
        <v>53</v>
      </c>
      <c r="E136" s="8" t="s">
        <v>252</v>
      </c>
      <c r="F136" s="8" t="s">
        <v>138</v>
      </c>
      <c r="G136" s="8" t="s">
        <v>253</v>
      </c>
      <c r="H136" s="9" t="s">
        <v>18</v>
      </c>
      <c r="I136" s="10"/>
      <c r="J136" s="11" t="n">
        <f aca="false">INT((ROW()-2)/50)+1</f>
        <v>3</v>
      </c>
      <c r="K136" s="11" t="str">
        <f aca="false">IF(H136="","Pending",IF(OR(H136="0",H136="1",H136="2",H136="U"),"Complete","Invalid"))</f>
        <v>Complete</v>
      </c>
    </row>
    <row r="137" customFormat="false" ht="84" hidden="false" customHeight="true" outlineLevel="0" collapsed="false">
      <c r="A137" s="8" t="s">
        <v>408</v>
      </c>
      <c r="B137" s="8" t="s">
        <v>155</v>
      </c>
      <c r="C137" s="8" t="s">
        <v>156</v>
      </c>
      <c r="D137" s="8" t="s">
        <v>157</v>
      </c>
      <c r="E137" s="8" t="s">
        <v>327</v>
      </c>
      <c r="F137" s="8" t="s">
        <v>31</v>
      </c>
      <c r="G137" s="8" t="s">
        <v>328</v>
      </c>
      <c r="H137" s="9" t="s">
        <v>18</v>
      </c>
      <c r="I137" s="10"/>
      <c r="J137" s="11" t="n">
        <f aca="false">INT((ROW()-2)/50)+1</f>
        <v>3</v>
      </c>
      <c r="K137" s="11" t="str">
        <f aca="false">IF(H137="","Pending",IF(OR(H137="0",H137="1",H137="2",H137="U"),"Complete","Invalid"))</f>
        <v>Complete</v>
      </c>
    </row>
    <row r="138" customFormat="false" ht="84" hidden="false" customHeight="true" outlineLevel="0" collapsed="false">
      <c r="A138" s="8" t="s">
        <v>409</v>
      </c>
      <c r="B138" s="8" t="s">
        <v>223</v>
      </c>
      <c r="C138" s="8" t="s">
        <v>224</v>
      </c>
      <c r="D138" s="8" t="s">
        <v>225</v>
      </c>
      <c r="E138" s="8" t="s">
        <v>282</v>
      </c>
      <c r="F138" s="8" t="s">
        <v>24</v>
      </c>
      <c r="G138" s="8" t="s">
        <v>283</v>
      </c>
      <c r="H138" s="9" t="s">
        <v>18</v>
      </c>
      <c r="I138" s="10"/>
      <c r="J138" s="11" t="n">
        <f aca="false">INT((ROW()-2)/50)+1</f>
        <v>3</v>
      </c>
      <c r="K138" s="11" t="str">
        <f aca="false">IF(H138="","Pending",IF(OR(H138="0",H138="1",H138="2",H138="U"),"Complete","Invalid"))</f>
        <v>Complete</v>
      </c>
    </row>
    <row r="139" customFormat="false" ht="84" hidden="false" customHeight="true" outlineLevel="0" collapsed="false">
      <c r="A139" s="8" t="s">
        <v>410</v>
      </c>
      <c r="B139" s="8" t="s">
        <v>198</v>
      </c>
      <c r="C139" s="8" t="s">
        <v>199</v>
      </c>
      <c r="D139" s="8" t="s">
        <v>200</v>
      </c>
      <c r="E139" s="8" t="s">
        <v>145</v>
      </c>
      <c r="F139" s="8" t="s">
        <v>95</v>
      </c>
      <c r="G139" s="8" t="s">
        <v>146</v>
      </c>
      <c r="H139" s="9" t="s">
        <v>18</v>
      </c>
      <c r="I139" s="10"/>
      <c r="J139" s="11" t="n">
        <f aca="false">INT((ROW()-2)/50)+1</f>
        <v>3</v>
      </c>
      <c r="K139" s="11" t="str">
        <f aca="false">IF(H139="","Pending",IF(OR(H139="0",H139="1",H139="2",H139="U"),"Complete","Invalid"))</f>
        <v>Complete</v>
      </c>
    </row>
    <row r="140" customFormat="false" ht="84" hidden="false" customHeight="true" outlineLevel="0" collapsed="false">
      <c r="A140" s="8" t="s">
        <v>411</v>
      </c>
      <c r="B140" s="8" t="s">
        <v>45</v>
      </c>
      <c r="C140" s="8" t="s">
        <v>46</v>
      </c>
      <c r="D140" s="8" t="s">
        <v>47</v>
      </c>
      <c r="E140" s="8" t="s">
        <v>356</v>
      </c>
      <c r="F140" s="8" t="s">
        <v>66</v>
      </c>
      <c r="G140" s="8" t="s">
        <v>357</v>
      </c>
      <c r="H140" s="9" t="s">
        <v>132</v>
      </c>
      <c r="I140" s="10"/>
      <c r="J140" s="11" t="n">
        <f aca="false">INT((ROW()-2)/50)+1</f>
        <v>3</v>
      </c>
      <c r="K140" s="11" t="str">
        <f aca="false">IF(H140="","Pending",IF(OR(H140="0",H140="1",H140="2",H140="U"),"Complete","Invalid"))</f>
        <v>Complete</v>
      </c>
    </row>
    <row r="141" customFormat="false" ht="84" hidden="false" customHeight="true" outlineLevel="0" collapsed="false">
      <c r="A141" s="8" t="s">
        <v>412</v>
      </c>
      <c r="B141" s="8" t="s">
        <v>58</v>
      </c>
      <c r="C141" s="8" t="s">
        <v>59</v>
      </c>
      <c r="D141" s="8" t="s">
        <v>60</v>
      </c>
      <c r="E141" s="8" t="s">
        <v>336</v>
      </c>
      <c r="F141" s="8" t="s">
        <v>55</v>
      </c>
      <c r="G141" s="8" t="s">
        <v>337</v>
      </c>
      <c r="H141" s="9" t="s">
        <v>18</v>
      </c>
      <c r="I141" s="10"/>
      <c r="J141" s="11" t="n">
        <f aca="false">INT((ROW()-2)/50)+1</f>
        <v>3</v>
      </c>
      <c r="K141" s="11" t="str">
        <f aca="false">IF(H141="","Pending",IF(OR(H141="0",H141="1",H141="2",H141="U"),"Complete","Invalid"))</f>
        <v>Complete</v>
      </c>
    </row>
    <row r="142" customFormat="false" ht="84" hidden="false" customHeight="true" outlineLevel="0" collapsed="false">
      <c r="A142" s="8" t="s">
        <v>413</v>
      </c>
      <c r="B142" s="8" t="s">
        <v>51</v>
      </c>
      <c r="C142" s="8" t="s">
        <v>52</v>
      </c>
      <c r="D142" s="8" t="s">
        <v>53</v>
      </c>
      <c r="E142" s="8" t="s">
        <v>212</v>
      </c>
      <c r="F142" s="8" t="s">
        <v>202</v>
      </c>
      <c r="G142" s="8" t="s">
        <v>213</v>
      </c>
      <c r="H142" s="9" t="s">
        <v>114</v>
      </c>
      <c r="I142" s="10"/>
      <c r="J142" s="11" t="n">
        <f aca="false">INT((ROW()-2)/50)+1</f>
        <v>3</v>
      </c>
      <c r="K142" s="11" t="str">
        <f aca="false">IF(H142="","Pending",IF(OR(H142="0",H142="1",H142="2",H142="U"),"Complete","Invalid"))</f>
        <v>Complete</v>
      </c>
    </row>
    <row r="143" customFormat="false" ht="84" hidden="false" customHeight="true" outlineLevel="0" collapsed="false">
      <c r="A143" s="8" t="s">
        <v>414</v>
      </c>
      <c r="B143" s="8" t="s">
        <v>12</v>
      </c>
      <c r="C143" s="8" t="s">
        <v>13</v>
      </c>
      <c r="D143" s="8" t="s">
        <v>14</v>
      </c>
      <c r="E143" s="8" t="s">
        <v>116</v>
      </c>
      <c r="F143" s="8" t="s">
        <v>117</v>
      </c>
      <c r="G143" s="8" t="s">
        <v>118</v>
      </c>
      <c r="H143" s="9" t="s">
        <v>18</v>
      </c>
      <c r="I143" s="10"/>
      <c r="J143" s="11" t="n">
        <f aca="false">INT((ROW()-2)/50)+1</f>
        <v>3</v>
      </c>
      <c r="K143" s="11" t="str">
        <f aca="false">IF(H143="","Pending",IF(OR(H143="0",H143="1",H143="2",H143="U"),"Complete","Invalid"))</f>
        <v>Complete</v>
      </c>
    </row>
    <row r="144" customFormat="false" ht="84" hidden="false" customHeight="true" outlineLevel="0" collapsed="false">
      <c r="A144" s="8" t="s">
        <v>415</v>
      </c>
      <c r="B144" s="8" t="s">
        <v>69</v>
      </c>
      <c r="C144" s="8" t="s">
        <v>70</v>
      </c>
      <c r="D144" s="8" t="s">
        <v>71</v>
      </c>
      <c r="E144" s="8" t="s">
        <v>390</v>
      </c>
      <c r="F144" s="8" t="s">
        <v>31</v>
      </c>
      <c r="G144" s="8" t="s">
        <v>391</v>
      </c>
      <c r="H144" s="9" t="s">
        <v>18</v>
      </c>
      <c r="I144" s="10"/>
      <c r="J144" s="11" t="n">
        <f aca="false">INT((ROW()-2)/50)+1</f>
        <v>3</v>
      </c>
      <c r="K144" s="11" t="str">
        <f aca="false">IF(H144="","Pending",IF(OR(H144="0",H144="1",H144="2",H144="U"),"Complete","Invalid"))</f>
        <v>Complete</v>
      </c>
    </row>
    <row r="145" customFormat="false" ht="84" hidden="false" customHeight="true" outlineLevel="0" collapsed="false">
      <c r="A145" s="8" t="s">
        <v>416</v>
      </c>
      <c r="B145" s="8" t="s">
        <v>34</v>
      </c>
      <c r="C145" s="8" t="s">
        <v>35</v>
      </c>
      <c r="D145" s="8" t="s">
        <v>36</v>
      </c>
      <c r="E145" s="8" t="s">
        <v>116</v>
      </c>
      <c r="F145" s="8" t="s">
        <v>117</v>
      </c>
      <c r="G145" s="8" t="s">
        <v>118</v>
      </c>
      <c r="H145" s="9" t="s">
        <v>132</v>
      </c>
      <c r="I145" s="10"/>
      <c r="J145" s="11" t="n">
        <f aca="false">INT((ROW()-2)/50)+1</f>
        <v>3</v>
      </c>
      <c r="K145" s="11" t="str">
        <f aca="false">IF(H145="","Pending",IF(OR(H145="0",H145="1",H145="2",H145="U"),"Complete","Invalid"))</f>
        <v>Complete</v>
      </c>
    </row>
    <row r="146" customFormat="false" ht="84" hidden="false" customHeight="true" outlineLevel="0" collapsed="false">
      <c r="A146" s="8" t="s">
        <v>417</v>
      </c>
      <c r="B146" s="8" t="s">
        <v>248</v>
      </c>
      <c r="C146" s="8" t="s">
        <v>249</v>
      </c>
      <c r="D146" s="8" t="s">
        <v>250</v>
      </c>
      <c r="E146" s="8" t="s">
        <v>244</v>
      </c>
      <c r="F146" s="8" t="s">
        <v>245</v>
      </c>
      <c r="G146" s="8" t="s">
        <v>246</v>
      </c>
      <c r="H146" s="9" t="s">
        <v>18</v>
      </c>
      <c r="I146" s="10"/>
      <c r="J146" s="11" t="n">
        <f aca="false">INT((ROW()-2)/50)+1</f>
        <v>3</v>
      </c>
      <c r="K146" s="11" t="str">
        <f aca="false">IF(H146="","Pending",IF(OR(H146="0",H146="1",H146="2",H146="U"),"Complete","Invalid"))</f>
        <v>Complete</v>
      </c>
    </row>
    <row r="147" customFormat="false" ht="84" hidden="false" customHeight="true" outlineLevel="0" collapsed="false">
      <c r="A147" s="8" t="s">
        <v>418</v>
      </c>
      <c r="B147" s="8" t="s">
        <v>271</v>
      </c>
      <c r="C147" s="8" t="s">
        <v>272</v>
      </c>
      <c r="D147" s="8" t="s">
        <v>273</v>
      </c>
      <c r="E147" s="8" t="s">
        <v>15</v>
      </c>
      <c r="F147" s="8" t="s">
        <v>16</v>
      </c>
      <c r="G147" s="8" t="s">
        <v>17</v>
      </c>
      <c r="H147" s="9" t="s">
        <v>18</v>
      </c>
      <c r="I147" s="10"/>
      <c r="J147" s="11" t="n">
        <f aca="false">INT((ROW()-2)/50)+1</f>
        <v>3</v>
      </c>
      <c r="K147" s="11" t="str">
        <f aca="false">IF(H147="","Pending",IF(OR(H147="0",H147="1",H147="2",H147="U"),"Complete","Invalid"))</f>
        <v>Complete</v>
      </c>
    </row>
    <row r="148" customFormat="false" ht="84" hidden="false" customHeight="true" outlineLevel="0" collapsed="false">
      <c r="A148" s="8" t="s">
        <v>419</v>
      </c>
      <c r="B148" s="8" t="s">
        <v>209</v>
      </c>
      <c r="C148" s="8" t="s">
        <v>210</v>
      </c>
      <c r="D148" s="8" t="s">
        <v>211</v>
      </c>
      <c r="E148" s="8" t="s">
        <v>372</v>
      </c>
      <c r="F148" s="8" t="s">
        <v>55</v>
      </c>
      <c r="G148" s="8" t="s">
        <v>373</v>
      </c>
      <c r="H148" s="9" t="s">
        <v>18</v>
      </c>
      <c r="I148" s="10"/>
      <c r="J148" s="11" t="n">
        <f aca="false">INT((ROW()-2)/50)+1</f>
        <v>3</v>
      </c>
      <c r="K148" s="11" t="str">
        <f aca="false">IF(H148="","Pending",IF(OR(H148="0",H148="1",H148="2",H148="U"),"Complete","Invalid"))</f>
        <v>Complete</v>
      </c>
    </row>
    <row r="149" customFormat="false" ht="84" hidden="false" customHeight="true" outlineLevel="0" collapsed="false">
      <c r="A149" s="8" t="s">
        <v>420</v>
      </c>
      <c r="B149" s="8" t="s">
        <v>271</v>
      </c>
      <c r="C149" s="8" t="s">
        <v>272</v>
      </c>
      <c r="D149" s="8" t="s">
        <v>273</v>
      </c>
      <c r="E149" s="8" t="s">
        <v>126</v>
      </c>
      <c r="F149" s="8" t="s">
        <v>73</v>
      </c>
      <c r="G149" s="8" t="s">
        <v>127</v>
      </c>
      <c r="H149" s="9" t="s">
        <v>18</v>
      </c>
      <c r="I149" s="10"/>
      <c r="J149" s="11" t="n">
        <f aca="false">INT((ROW()-2)/50)+1</f>
        <v>3</v>
      </c>
      <c r="K149" s="11" t="str">
        <f aca="false">IF(H149="","Pending",IF(OR(H149="0",H149="1",H149="2",H149="U"),"Complete","Invalid"))</f>
        <v>Complete</v>
      </c>
    </row>
    <row r="150" customFormat="false" ht="84" hidden="false" customHeight="true" outlineLevel="0" collapsed="false">
      <c r="A150" s="8" t="s">
        <v>421</v>
      </c>
      <c r="B150" s="8" t="s">
        <v>76</v>
      </c>
      <c r="C150" s="8" t="s">
        <v>77</v>
      </c>
      <c r="D150" s="8" t="s">
        <v>78</v>
      </c>
      <c r="E150" s="8" t="s">
        <v>23</v>
      </c>
      <c r="F150" s="8" t="s">
        <v>24</v>
      </c>
      <c r="G150" s="8" t="s">
        <v>25</v>
      </c>
      <c r="H150" s="9" t="s">
        <v>18</v>
      </c>
      <c r="I150" s="10"/>
      <c r="J150" s="11" t="n">
        <f aca="false">INT((ROW()-2)/50)+1</f>
        <v>3</v>
      </c>
      <c r="K150" s="11" t="str">
        <f aca="false">IF(H150="","Pending",IF(OR(H150="0",H150="1",H150="2",H150="U"),"Complete","Invalid"))</f>
        <v>Complete</v>
      </c>
    </row>
    <row r="151" customFormat="false" ht="84" hidden="false" customHeight="true" outlineLevel="0" collapsed="false">
      <c r="A151" s="8" t="s">
        <v>422</v>
      </c>
      <c r="B151" s="8" t="s">
        <v>105</v>
      </c>
      <c r="C151" s="8" t="s">
        <v>106</v>
      </c>
      <c r="D151" s="8" t="s">
        <v>107</v>
      </c>
      <c r="E151" s="8" t="s">
        <v>327</v>
      </c>
      <c r="F151" s="8" t="s">
        <v>31</v>
      </c>
      <c r="G151" s="8" t="s">
        <v>328</v>
      </c>
      <c r="H151" s="9" t="s">
        <v>18</v>
      </c>
      <c r="I151" s="10"/>
      <c r="J151" s="11" t="n">
        <f aca="false">INT((ROW()-2)/50)+1</f>
        <v>3</v>
      </c>
      <c r="K151" s="11" t="str">
        <f aca="false">IF(H151="","Pending",IF(OR(H151="0",H151="1",H151="2",H151="U"),"Complete","Invalid"))</f>
        <v>Complete</v>
      </c>
    </row>
    <row r="152" customFormat="false" ht="84" hidden="false" customHeight="true" outlineLevel="0" collapsed="false">
      <c r="A152" s="8" t="s">
        <v>423</v>
      </c>
      <c r="B152" s="8" t="s">
        <v>271</v>
      </c>
      <c r="C152" s="8" t="s">
        <v>272</v>
      </c>
      <c r="D152" s="8" t="s">
        <v>273</v>
      </c>
      <c r="E152" s="8" t="s">
        <v>72</v>
      </c>
      <c r="F152" s="8" t="s">
        <v>73</v>
      </c>
      <c r="G152" s="8" t="s">
        <v>74</v>
      </c>
      <c r="H152" s="9" t="s">
        <v>18</v>
      </c>
      <c r="I152" s="10"/>
      <c r="J152" s="11" t="n">
        <f aca="false">INT((ROW()-2)/50)+1</f>
        <v>4</v>
      </c>
      <c r="K152" s="11" t="str">
        <f aca="false">IF(H152="","Pending",IF(OR(H152="0",H152="1",H152="2",H152="U"),"Complete","Invalid"))</f>
        <v>Complete</v>
      </c>
    </row>
    <row r="153" customFormat="false" ht="84" hidden="false" customHeight="true" outlineLevel="0" collapsed="false">
      <c r="A153" s="8" t="s">
        <v>424</v>
      </c>
      <c r="B153" s="8" t="s">
        <v>155</v>
      </c>
      <c r="C153" s="8" t="s">
        <v>156</v>
      </c>
      <c r="D153" s="8" t="s">
        <v>157</v>
      </c>
      <c r="E153" s="8" t="s">
        <v>164</v>
      </c>
      <c r="F153" s="8" t="s">
        <v>73</v>
      </c>
      <c r="G153" s="8" t="s">
        <v>165</v>
      </c>
      <c r="H153" s="9" t="s">
        <v>18</v>
      </c>
      <c r="I153" s="10"/>
      <c r="J153" s="11" t="n">
        <f aca="false">INT((ROW()-2)/50)+1</f>
        <v>4</v>
      </c>
      <c r="K153" s="11" t="str">
        <f aca="false">IF(H153="","Pending",IF(OR(H153="0",H153="1",H153="2",H153="U"),"Complete","Invalid"))</f>
        <v>Complete</v>
      </c>
    </row>
    <row r="154" customFormat="false" ht="84" hidden="false" customHeight="true" outlineLevel="0" collapsed="false">
      <c r="A154" s="8" t="s">
        <v>425</v>
      </c>
      <c r="B154" s="8" t="s">
        <v>129</v>
      </c>
      <c r="C154" s="8" t="s">
        <v>130</v>
      </c>
      <c r="D154" s="8" t="s">
        <v>131</v>
      </c>
      <c r="E154" s="8" t="s">
        <v>426</v>
      </c>
      <c r="F154" s="8" t="s">
        <v>369</v>
      </c>
      <c r="G154" s="8" t="s">
        <v>427</v>
      </c>
      <c r="H154" s="9" t="s">
        <v>18</v>
      </c>
      <c r="I154" s="10"/>
      <c r="J154" s="11" t="n">
        <f aca="false">INT((ROW()-2)/50)+1</f>
        <v>4</v>
      </c>
      <c r="K154" s="11" t="str">
        <f aca="false">IF(H154="","Pending",IF(OR(H154="0",H154="1",H154="2",H154="U"),"Complete","Invalid"))</f>
        <v>Complete</v>
      </c>
    </row>
    <row r="155" customFormat="false" ht="84" hidden="false" customHeight="true" outlineLevel="0" collapsed="false">
      <c r="A155" s="8" t="s">
        <v>428</v>
      </c>
      <c r="B155" s="8" t="s">
        <v>41</v>
      </c>
      <c r="C155" s="8" t="s">
        <v>42</v>
      </c>
      <c r="D155" s="8" t="s">
        <v>43</v>
      </c>
      <c r="E155" s="8" t="s">
        <v>126</v>
      </c>
      <c r="F155" s="8" t="s">
        <v>73</v>
      </c>
      <c r="G155" s="8" t="s">
        <v>127</v>
      </c>
      <c r="H155" s="9" t="s">
        <v>18</v>
      </c>
      <c r="I155" s="10"/>
      <c r="J155" s="11" t="n">
        <f aca="false">INT((ROW()-2)/50)+1</f>
        <v>4</v>
      </c>
      <c r="K155" s="11" t="str">
        <f aca="false">IF(H155="","Pending",IF(OR(H155="0",H155="1",H155="2",H155="U"),"Complete","Invalid"))</f>
        <v>Complete</v>
      </c>
    </row>
    <row r="156" customFormat="false" ht="84" hidden="false" customHeight="true" outlineLevel="0" collapsed="false">
      <c r="A156" s="8" t="s">
        <v>429</v>
      </c>
      <c r="B156" s="8" t="s">
        <v>91</v>
      </c>
      <c r="C156" s="8" t="s">
        <v>92</v>
      </c>
      <c r="D156" s="8" t="s">
        <v>93</v>
      </c>
      <c r="E156" s="8" t="s">
        <v>83</v>
      </c>
      <c r="F156" s="8" t="s">
        <v>84</v>
      </c>
      <c r="G156" s="8" t="s">
        <v>85</v>
      </c>
      <c r="H156" s="9" t="s">
        <v>18</v>
      </c>
      <c r="I156" s="10"/>
      <c r="J156" s="11" t="n">
        <f aca="false">INT((ROW()-2)/50)+1</f>
        <v>4</v>
      </c>
      <c r="K156" s="11" t="str">
        <f aca="false">IF(H156="","Pending",IF(OR(H156="0",H156="1",H156="2",H156="U"),"Complete","Invalid"))</f>
        <v>Complete</v>
      </c>
    </row>
    <row r="157" customFormat="false" ht="84" hidden="false" customHeight="true" outlineLevel="0" collapsed="false">
      <c r="A157" s="8" t="s">
        <v>430</v>
      </c>
      <c r="B157" s="8" t="s">
        <v>98</v>
      </c>
      <c r="C157" s="8" t="s">
        <v>99</v>
      </c>
      <c r="D157" s="8" t="s">
        <v>100</v>
      </c>
      <c r="E157" s="8" t="s">
        <v>431</v>
      </c>
      <c r="F157" s="8" t="s">
        <v>24</v>
      </c>
      <c r="G157" s="8" t="s">
        <v>432</v>
      </c>
      <c r="H157" s="9" t="s">
        <v>114</v>
      </c>
      <c r="I157" s="10" t="s">
        <v>433</v>
      </c>
      <c r="J157" s="11" t="n">
        <f aca="false">INT((ROW()-2)/50)+1</f>
        <v>4</v>
      </c>
      <c r="K157" s="11" t="str">
        <f aca="false">IF(H157="","Pending",IF(OR(H157="0",H157="1",H157="2",H157="U"),"Complete","Invalid"))</f>
        <v>Complete</v>
      </c>
    </row>
    <row r="158" customFormat="false" ht="84" hidden="false" customHeight="true" outlineLevel="0" collapsed="false">
      <c r="A158" s="8" t="s">
        <v>434</v>
      </c>
      <c r="B158" s="8" t="s">
        <v>12</v>
      </c>
      <c r="C158" s="8" t="s">
        <v>13</v>
      </c>
      <c r="D158" s="8" t="s">
        <v>14</v>
      </c>
      <c r="E158" s="8" t="s">
        <v>54</v>
      </c>
      <c r="F158" s="8" t="s">
        <v>55</v>
      </c>
      <c r="G158" s="8" t="s">
        <v>56</v>
      </c>
      <c r="H158" s="9" t="s">
        <v>18</v>
      </c>
      <c r="I158" s="10"/>
      <c r="J158" s="11" t="n">
        <f aca="false">INT((ROW()-2)/50)+1</f>
        <v>4</v>
      </c>
      <c r="K158" s="11" t="str">
        <f aca="false">IF(H158="","Pending",IF(OR(H158="0",H158="1",H158="2",H158="U"),"Complete","Invalid"))</f>
        <v>Complete</v>
      </c>
    </row>
    <row r="159" customFormat="false" ht="84" hidden="false" customHeight="true" outlineLevel="0" collapsed="false">
      <c r="A159" s="8" t="s">
        <v>435</v>
      </c>
      <c r="B159" s="8" t="s">
        <v>20</v>
      </c>
      <c r="C159" s="8" t="s">
        <v>21</v>
      </c>
      <c r="D159" s="8" t="s">
        <v>22</v>
      </c>
      <c r="E159" s="8" t="s">
        <v>436</v>
      </c>
      <c r="F159" s="8" t="s">
        <v>263</v>
      </c>
      <c r="G159" s="8" t="s">
        <v>437</v>
      </c>
      <c r="H159" s="9" t="s">
        <v>114</v>
      </c>
      <c r="I159" s="10"/>
      <c r="J159" s="11" t="n">
        <f aca="false">INT((ROW()-2)/50)+1</f>
        <v>4</v>
      </c>
      <c r="K159" s="11" t="str">
        <f aca="false">IF(H159="","Pending",IF(OR(H159="0",H159="1",H159="2",H159="U"),"Complete","Invalid"))</f>
        <v>Complete</v>
      </c>
    </row>
    <row r="160" customFormat="false" ht="84" hidden="false" customHeight="true" outlineLevel="0" collapsed="false">
      <c r="A160" s="8" t="s">
        <v>438</v>
      </c>
      <c r="B160" s="8" t="s">
        <v>41</v>
      </c>
      <c r="C160" s="8" t="s">
        <v>42</v>
      </c>
      <c r="D160" s="8" t="s">
        <v>43</v>
      </c>
      <c r="E160" s="8" t="s">
        <v>212</v>
      </c>
      <c r="F160" s="8" t="s">
        <v>202</v>
      </c>
      <c r="G160" s="8" t="s">
        <v>213</v>
      </c>
      <c r="H160" s="9" t="s">
        <v>114</v>
      </c>
      <c r="I160" s="10" t="s">
        <v>439</v>
      </c>
      <c r="J160" s="11" t="n">
        <f aca="false">INT((ROW()-2)/50)+1</f>
        <v>4</v>
      </c>
      <c r="K160" s="11" t="str">
        <f aca="false">IF(H160="","Pending",IF(OR(H160="0",H160="1",H160="2",H160="U"),"Complete","Invalid"))</f>
        <v>Complete</v>
      </c>
    </row>
    <row r="161" customFormat="false" ht="84" hidden="false" customHeight="true" outlineLevel="0" collapsed="false">
      <c r="A161" s="8" t="s">
        <v>440</v>
      </c>
      <c r="B161" s="8" t="s">
        <v>189</v>
      </c>
      <c r="C161" s="8" t="s">
        <v>190</v>
      </c>
      <c r="D161" s="8" t="s">
        <v>191</v>
      </c>
      <c r="E161" s="8" t="s">
        <v>262</v>
      </c>
      <c r="F161" s="8" t="s">
        <v>263</v>
      </c>
      <c r="G161" s="8" t="s">
        <v>264</v>
      </c>
      <c r="H161" s="9" t="s">
        <v>18</v>
      </c>
      <c r="I161" s="10"/>
      <c r="J161" s="11" t="n">
        <f aca="false">INT((ROW()-2)/50)+1</f>
        <v>4</v>
      </c>
      <c r="K161" s="11" t="str">
        <f aca="false">IF(H161="","Pending",IF(OR(H161="0",H161="1",H161="2",H161="U"),"Complete","Invalid"))</f>
        <v>Complete</v>
      </c>
    </row>
    <row r="162" customFormat="false" ht="84" hidden="false" customHeight="true" outlineLevel="0" collapsed="false">
      <c r="A162" s="8" t="s">
        <v>441</v>
      </c>
      <c r="B162" s="8" t="s">
        <v>232</v>
      </c>
      <c r="C162" s="8" t="s">
        <v>233</v>
      </c>
      <c r="D162" s="8" t="s">
        <v>234</v>
      </c>
      <c r="E162" s="8" t="s">
        <v>48</v>
      </c>
      <c r="F162" s="8" t="s">
        <v>24</v>
      </c>
      <c r="G162" s="8" t="s">
        <v>49</v>
      </c>
      <c r="H162" s="9" t="s">
        <v>18</v>
      </c>
      <c r="I162" s="10"/>
      <c r="J162" s="11" t="n">
        <f aca="false">INT((ROW()-2)/50)+1</f>
        <v>4</v>
      </c>
      <c r="K162" s="11" t="str">
        <f aca="false">IF(H162="","Pending",IF(OR(H162="0",H162="1",H162="2",H162="U"),"Complete","Invalid"))</f>
        <v>Complete</v>
      </c>
    </row>
    <row r="163" customFormat="false" ht="84" hidden="false" customHeight="true" outlineLevel="0" collapsed="false">
      <c r="A163" s="8" t="s">
        <v>442</v>
      </c>
      <c r="B163" s="8" t="s">
        <v>232</v>
      </c>
      <c r="C163" s="8" t="s">
        <v>233</v>
      </c>
      <c r="D163" s="8" t="s">
        <v>234</v>
      </c>
      <c r="E163" s="8" t="s">
        <v>108</v>
      </c>
      <c r="F163" s="8" t="s">
        <v>109</v>
      </c>
      <c r="G163" s="8" t="s">
        <v>110</v>
      </c>
      <c r="H163" s="9" t="s">
        <v>18</v>
      </c>
      <c r="I163" s="10"/>
      <c r="J163" s="11" t="n">
        <f aca="false">INT((ROW()-2)/50)+1</f>
        <v>4</v>
      </c>
      <c r="K163" s="11" t="str">
        <f aca="false">IF(H163="","Pending",IF(OR(H163="0",H163="1",H163="2",H163="U"),"Complete","Invalid"))</f>
        <v>Complete</v>
      </c>
    </row>
    <row r="164" customFormat="false" ht="84" hidden="false" customHeight="true" outlineLevel="0" collapsed="false">
      <c r="A164" s="8" t="s">
        <v>443</v>
      </c>
      <c r="B164" s="8" t="s">
        <v>41</v>
      </c>
      <c r="C164" s="8" t="s">
        <v>42</v>
      </c>
      <c r="D164" s="8" t="s">
        <v>43</v>
      </c>
      <c r="E164" s="8" t="s">
        <v>201</v>
      </c>
      <c r="F164" s="8" t="s">
        <v>202</v>
      </c>
      <c r="G164" s="8" t="s">
        <v>203</v>
      </c>
      <c r="H164" s="9" t="s">
        <v>132</v>
      </c>
      <c r="I164" s="10"/>
      <c r="J164" s="11" t="n">
        <f aca="false">INT((ROW()-2)/50)+1</f>
        <v>4</v>
      </c>
      <c r="K164" s="11" t="str">
        <f aca="false">IF(H164="","Pending",IF(OR(H164="0",H164="1",H164="2",H164="U"),"Complete","Invalid"))</f>
        <v>Complete</v>
      </c>
    </row>
    <row r="165" customFormat="false" ht="84" hidden="false" customHeight="true" outlineLevel="0" collapsed="false">
      <c r="A165" s="8" t="s">
        <v>444</v>
      </c>
      <c r="B165" s="8" t="s">
        <v>80</v>
      </c>
      <c r="C165" s="8" t="s">
        <v>81</v>
      </c>
      <c r="D165" s="8" t="s">
        <v>82</v>
      </c>
      <c r="E165" s="8" t="s">
        <v>445</v>
      </c>
      <c r="F165" s="8" t="s">
        <v>84</v>
      </c>
      <c r="G165" s="8" t="s">
        <v>446</v>
      </c>
      <c r="H165" s="9" t="s">
        <v>18</v>
      </c>
      <c r="I165" s="10"/>
      <c r="J165" s="11" t="n">
        <f aca="false">INT((ROW()-2)/50)+1</f>
        <v>4</v>
      </c>
      <c r="K165" s="11" t="str">
        <f aca="false">IF(H165="","Pending",IF(OR(H165="0",H165="1",H165="2",H165="U"),"Complete","Invalid"))</f>
        <v>Complete</v>
      </c>
    </row>
    <row r="166" customFormat="false" ht="84" hidden="false" customHeight="true" outlineLevel="0" collapsed="false">
      <c r="A166" s="8" t="s">
        <v>447</v>
      </c>
      <c r="B166" s="8" t="s">
        <v>41</v>
      </c>
      <c r="C166" s="8" t="s">
        <v>42</v>
      </c>
      <c r="D166" s="8" t="s">
        <v>43</v>
      </c>
      <c r="E166" s="8" t="s">
        <v>445</v>
      </c>
      <c r="F166" s="8" t="s">
        <v>84</v>
      </c>
      <c r="G166" s="8" t="s">
        <v>446</v>
      </c>
      <c r="H166" s="9" t="s">
        <v>18</v>
      </c>
      <c r="I166" s="10"/>
      <c r="J166" s="11" t="n">
        <f aca="false">INT((ROW()-2)/50)+1</f>
        <v>4</v>
      </c>
      <c r="K166" s="11" t="str">
        <f aca="false">IF(H166="","Pending",IF(OR(H166="0",H166="1",H166="2",H166="U"),"Complete","Invalid"))</f>
        <v>Complete</v>
      </c>
    </row>
    <row r="167" customFormat="false" ht="84" hidden="false" customHeight="true" outlineLevel="0" collapsed="false">
      <c r="A167" s="8" t="s">
        <v>448</v>
      </c>
      <c r="B167" s="8" t="s">
        <v>198</v>
      </c>
      <c r="C167" s="8" t="s">
        <v>199</v>
      </c>
      <c r="D167" s="8" t="s">
        <v>200</v>
      </c>
      <c r="E167" s="8" t="s">
        <v>72</v>
      </c>
      <c r="F167" s="8" t="s">
        <v>73</v>
      </c>
      <c r="G167" s="8" t="s">
        <v>74</v>
      </c>
      <c r="H167" s="9" t="s">
        <v>18</v>
      </c>
      <c r="I167" s="10"/>
      <c r="J167" s="11" t="n">
        <f aca="false">INT((ROW()-2)/50)+1</f>
        <v>4</v>
      </c>
      <c r="K167" s="11" t="str">
        <f aca="false">IF(H167="","Pending",IF(OR(H167="0",H167="1",H167="2",H167="U"),"Complete","Invalid"))</f>
        <v>Complete</v>
      </c>
    </row>
    <row r="168" customFormat="false" ht="84" hidden="false" customHeight="true" outlineLevel="0" collapsed="false">
      <c r="A168" s="8" t="s">
        <v>449</v>
      </c>
      <c r="B168" s="8" t="s">
        <v>259</v>
      </c>
      <c r="C168" s="8" t="s">
        <v>260</v>
      </c>
      <c r="D168" s="8" t="s">
        <v>261</v>
      </c>
      <c r="E168" s="8" t="s">
        <v>186</v>
      </c>
      <c r="F168" s="8" t="s">
        <v>73</v>
      </c>
      <c r="G168" s="8" t="s">
        <v>187</v>
      </c>
      <c r="H168" s="9" t="s">
        <v>18</v>
      </c>
      <c r="I168" s="10"/>
      <c r="J168" s="11" t="n">
        <f aca="false">INT((ROW()-2)/50)+1</f>
        <v>4</v>
      </c>
      <c r="K168" s="11" t="str">
        <f aca="false">IF(H168="","Pending",IF(OR(H168="0",H168="1",H168="2",H168="U"),"Complete","Invalid"))</f>
        <v>Complete</v>
      </c>
    </row>
    <row r="169" customFormat="false" ht="84" hidden="false" customHeight="true" outlineLevel="0" collapsed="false">
      <c r="A169" s="8" t="s">
        <v>450</v>
      </c>
      <c r="B169" s="8" t="s">
        <v>271</v>
      </c>
      <c r="C169" s="8" t="s">
        <v>272</v>
      </c>
      <c r="D169" s="8" t="s">
        <v>273</v>
      </c>
      <c r="E169" s="8" t="s">
        <v>37</v>
      </c>
      <c r="F169" s="8" t="s">
        <v>38</v>
      </c>
      <c r="G169" s="8" t="s">
        <v>39</v>
      </c>
      <c r="H169" s="9" t="s">
        <v>18</v>
      </c>
      <c r="I169" s="10"/>
      <c r="J169" s="11" t="n">
        <f aca="false">INT((ROW()-2)/50)+1</f>
        <v>4</v>
      </c>
      <c r="K169" s="11" t="str">
        <f aca="false">IF(H169="","Pending",IF(OR(H169="0",H169="1",H169="2",H169="U"),"Complete","Invalid"))</f>
        <v>Complete</v>
      </c>
    </row>
    <row r="170" customFormat="false" ht="84" hidden="false" customHeight="true" outlineLevel="0" collapsed="false">
      <c r="A170" s="8" t="s">
        <v>451</v>
      </c>
      <c r="B170" s="8" t="s">
        <v>341</v>
      </c>
      <c r="C170" s="8" t="s">
        <v>342</v>
      </c>
      <c r="D170" s="8" t="s">
        <v>343</v>
      </c>
      <c r="E170" s="8" t="s">
        <v>164</v>
      </c>
      <c r="F170" s="8" t="s">
        <v>73</v>
      </c>
      <c r="G170" s="8" t="s">
        <v>165</v>
      </c>
      <c r="H170" s="9" t="s">
        <v>18</v>
      </c>
      <c r="I170" s="10"/>
      <c r="J170" s="11" t="n">
        <f aca="false">INT((ROW()-2)/50)+1</f>
        <v>4</v>
      </c>
      <c r="K170" s="11" t="str">
        <f aca="false">IF(H170="","Pending",IF(OR(H170="0",H170="1",H170="2",H170="U"),"Complete","Invalid"))</f>
        <v>Complete</v>
      </c>
    </row>
    <row r="171" customFormat="false" ht="84" hidden="false" customHeight="true" outlineLevel="0" collapsed="false">
      <c r="A171" s="8" t="s">
        <v>452</v>
      </c>
      <c r="B171" s="8" t="s">
        <v>148</v>
      </c>
      <c r="C171" s="8" t="s">
        <v>149</v>
      </c>
      <c r="D171" s="8" t="s">
        <v>150</v>
      </c>
      <c r="E171" s="8" t="s">
        <v>344</v>
      </c>
      <c r="F171" s="8" t="s">
        <v>142</v>
      </c>
      <c r="G171" s="8" t="s">
        <v>345</v>
      </c>
      <c r="H171" s="9" t="s">
        <v>18</v>
      </c>
      <c r="I171" s="10" t="s">
        <v>317</v>
      </c>
      <c r="J171" s="11" t="n">
        <f aca="false">INT((ROW()-2)/50)+1</f>
        <v>4</v>
      </c>
      <c r="K171" s="11" t="str">
        <f aca="false">IF(H171="","Pending",IF(OR(H171="0",H171="1",H171="2",H171="U"),"Complete","Invalid"))</f>
        <v>Complete</v>
      </c>
    </row>
    <row r="172" customFormat="false" ht="84" hidden="false" customHeight="true" outlineLevel="0" collapsed="false">
      <c r="A172" s="8" t="s">
        <v>453</v>
      </c>
      <c r="B172" s="8" t="s">
        <v>238</v>
      </c>
      <c r="C172" s="8" t="s">
        <v>239</v>
      </c>
      <c r="D172" s="8" t="s">
        <v>240</v>
      </c>
      <c r="E172" s="8" t="s">
        <v>454</v>
      </c>
      <c r="F172" s="8" t="s">
        <v>380</v>
      </c>
      <c r="G172" s="8" t="s">
        <v>455</v>
      </c>
      <c r="H172" s="9" t="s">
        <v>18</v>
      </c>
      <c r="I172" s="10"/>
      <c r="J172" s="11" t="n">
        <f aca="false">INT((ROW()-2)/50)+1</f>
        <v>4</v>
      </c>
      <c r="K172" s="11" t="str">
        <f aca="false">IF(H172="","Pending",IF(OR(H172="0",H172="1",H172="2",H172="U"),"Complete","Invalid"))</f>
        <v>Complete</v>
      </c>
    </row>
    <row r="173" customFormat="false" ht="84" hidden="false" customHeight="true" outlineLevel="0" collapsed="false">
      <c r="A173" s="8" t="s">
        <v>456</v>
      </c>
      <c r="B173" s="8" t="s">
        <v>34</v>
      </c>
      <c r="C173" s="8" t="s">
        <v>35</v>
      </c>
      <c r="D173" s="8" t="s">
        <v>36</v>
      </c>
      <c r="E173" s="8" t="s">
        <v>137</v>
      </c>
      <c r="F173" s="8" t="s">
        <v>138</v>
      </c>
      <c r="G173" s="8" t="s">
        <v>139</v>
      </c>
      <c r="H173" s="9" t="s">
        <v>132</v>
      </c>
      <c r="I173" s="10"/>
      <c r="J173" s="11" t="n">
        <f aca="false">INT((ROW()-2)/50)+1</f>
        <v>4</v>
      </c>
      <c r="K173" s="11" t="str">
        <f aca="false">IF(H173="","Pending",IF(OR(H173="0",H173="1",H173="2",H173="U"),"Complete","Invalid"))</f>
        <v>Complete</v>
      </c>
    </row>
    <row r="174" customFormat="false" ht="84" hidden="false" customHeight="true" outlineLevel="0" collapsed="false">
      <c r="A174" s="8" t="s">
        <v>457</v>
      </c>
      <c r="B174" s="8" t="s">
        <v>189</v>
      </c>
      <c r="C174" s="8" t="s">
        <v>190</v>
      </c>
      <c r="D174" s="8" t="s">
        <v>191</v>
      </c>
      <c r="E174" s="8" t="s">
        <v>54</v>
      </c>
      <c r="F174" s="8" t="s">
        <v>55</v>
      </c>
      <c r="G174" s="8" t="s">
        <v>56</v>
      </c>
      <c r="H174" s="9" t="s">
        <v>18</v>
      </c>
      <c r="I174" s="10"/>
      <c r="J174" s="11" t="n">
        <f aca="false">INT((ROW()-2)/50)+1</f>
        <v>4</v>
      </c>
      <c r="K174" s="11" t="str">
        <f aca="false">IF(H174="","Pending",IF(OR(H174="0",H174="1",H174="2",H174="U"),"Complete","Invalid"))</f>
        <v>Complete</v>
      </c>
    </row>
    <row r="175" customFormat="false" ht="84" hidden="false" customHeight="true" outlineLevel="0" collapsed="false">
      <c r="A175" s="8" t="s">
        <v>458</v>
      </c>
      <c r="B175" s="8" t="s">
        <v>232</v>
      </c>
      <c r="C175" s="8" t="s">
        <v>233</v>
      </c>
      <c r="D175" s="8" t="s">
        <v>234</v>
      </c>
      <c r="E175" s="8" t="s">
        <v>459</v>
      </c>
      <c r="F175" s="8" t="s">
        <v>460</v>
      </c>
      <c r="G175" s="8" t="s">
        <v>461</v>
      </c>
      <c r="H175" s="9" t="s">
        <v>18</v>
      </c>
      <c r="I175" s="10"/>
      <c r="J175" s="11" t="n">
        <f aca="false">INT((ROW()-2)/50)+1</f>
        <v>4</v>
      </c>
      <c r="K175" s="11" t="str">
        <f aca="false">IF(H175="","Pending",IF(OR(H175="0",H175="1",H175="2",H175="U"),"Complete","Invalid"))</f>
        <v>Complete</v>
      </c>
    </row>
    <row r="176" customFormat="false" ht="84" hidden="false" customHeight="true" outlineLevel="0" collapsed="false">
      <c r="A176" s="8" t="s">
        <v>462</v>
      </c>
      <c r="B176" s="8" t="s">
        <v>219</v>
      </c>
      <c r="C176" s="8" t="s">
        <v>220</v>
      </c>
      <c r="D176" s="8" t="s">
        <v>221</v>
      </c>
      <c r="E176" s="8" t="s">
        <v>61</v>
      </c>
      <c r="F176" s="8" t="s">
        <v>62</v>
      </c>
      <c r="G176" s="8" t="s">
        <v>63</v>
      </c>
      <c r="H176" s="9" t="s">
        <v>132</v>
      </c>
      <c r="I176" s="10"/>
      <c r="J176" s="11" t="n">
        <f aca="false">INT((ROW()-2)/50)+1</f>
        <v>4</v>
      </c>
      <c r="K176" s="11" t="str">
        <f aca="false">IF(H176="","Pending",IF(OR(H176="0",H176="1",H176="2",H176="U"),"Complete","Invalid"))</f>
        <v>Complete</v>
      </c>
    </row>
    <row r="177" customFormat="false" ht="84" hidden="false" customHeight="true" outlineLevel="0" collapsed="false">
      <c r="A177" s="8" t="s">
        <v>463</v>
      </c>
      <c r="B177" s="8" t="s">
        <v>129</v>
      </c>
      <c r="C177" s="8" t="s">
        <v>130</v>
      </c>
      <c r="D177" s="8" t="s">
        <v>131</v>
      </c>
      <c r="E177" s="8" t="s">
        <v>290</v>
      </c>
      <c r="F177" s="8" t="s">
        <v>55</v>
      </c>
      <c r="G177" s="8" t="s">
        <v>291</v>
      </c>
      <c r="H177" s="9" t="s">
        <v>18</v>
      </c>
      <c r="I177" s="10"/>
      <c r="J177" s="11" t="n">
        <f aca="false">INT((ROW()-2)/50)+1</f>
        <v>4</v>
      </c>
      <c r="K177" s="11" t="str">
        <f aca="false">IF(H177="","Pending",IF(OR(H177="0",H177="1",H177="2",H177="U"),"Complete","Invalid"))</f>
        <v>Complete</v>
      </c>
    </row>
    <row r="178" customFormat="false" ht="84" hidden="false" customHeight="true" outlineLevel="0" collapsed="false">
      <c r="A178" s="8" t="s">
        <v>464</v>
      </c>
      <c r="B178" s="8" t="s">
        <v>155</v>
      </c>
      <c r="C178" s="8" t="s">
        <v>156</v>
      </c>
      <c r="D178" s="8" t="s">
        <v>157</v>
      </c>
      <c r="E178" s="8" t="s">
        <v>465</v>
      </c>
      <c r="F178" s="8" t="s">
        <v>31</v>
      </c>
      <c r="G178" s="8" t="s">
        <v>466</v>
      </c>
      <c r="H178" s="9" t="s">
        <v>18</v>
      </c>
      <c r="I178" s="10"/>
      <c r="J178" s="11" t="n">
        <f aca="false">INT((ROW()-2)/50)+1</f>
        <v>4</v>
      </c>
      <c r="K178" s="11" t="str">
        <f aca="false">IF(H178="","Pending",IF(OR(H178="0",H178="1",H178="2",H178="U"),"Complete","Invalid"))</f>
        <v>Complete</v>
      </c>
    </row>
    <row r="179" customFormat="false" ht="84" hidden="false" customHeight="true" outlineLevel="0" collapsed="false">
      <c r="A179" s="8" t="s">
        <v>467</v>
      </c>
      <c r="B179" s="8" t="s">
        <v>12</v>
      </c>
      <c r="C179" s="8" t="s">
        <v>13</v>
      </c>
      <c r="D179" s="8" t="s">
        <v>14</v>
      </c>
      <c r="E179" s="8" t="s">
        <v>426</v>
      </c>
      <c r="F179" s="8" t="s">
        <v>369</v>
      </c>
      <c r="G179" s="8" t="s">
        <v>427</v>
      </c>
      <c r="H179" s="9" t="s">
        <v>18</v>
      </c>
      <c r="I179" s="10"/>
      <c r="J179" s="11" t="n">
        <f aca="false">INT((ROW()-2)/50)+1</f>
        <v>4</v>
      </c>
      <c r="K179" s="11" t="str">
        <f aca="false">IF(H179="","Pending",IF(OR(H179="0",H179="1",H179="2",H179="U"),"Complete","Invalid"))</f>
        <v>Complete</v>
      </c>
    </row>
    <row r="180" customFormat="false" ht="84" hidden="false" customHeight="true" outlineLevel="0" collapsed="false">
      <c r="A180" s="8" t="s">
        <v>468</v>
      </c>
      <c r="B180" s="8" t="s">
        <v>91</v>
      </c>
      <c r="C180" s="8" t="s">
        <v>92</v>
      </c>
      <c r="D180" s="8" t="s">
        <v>93</v>
      </c>
      <c r="E180" s="8" t="s">
        <v>195</v>
      </c>
      <c r="F180" s="8" t="s">
        <v>95</v>
      </c>
      <c r="G180" s="8" t="s">
        <v>196</v>
      </c>
      <c r="H180" s="9" t="s">
        <v>18</v>
      </c>
      <c r="I180" s="10"/>
      <c r="J180" s="11" t="n">
        <f aca="false">INT((ROW()-2)/50)+1</f>
        <v>4</v>
      </c>
      <c r="K180" s="11" t="str">
        <f aca="false">IF(H180="","Pending",IF(OR(H180="0",H180="1",H180="2",H180="U"),"Complete","Invalid"))</f>
        <v>Complete</v>
      </c>
    </row>
    <row r="181" customFormat="false" ht="84" hidden="false" customHeight="true" outlineLevel="0" collapsed="false">
      <c r="A181" s="8" t="s">
        <v>469</v>
      </c>
      <c r="B181" s="8" t="s">
        <v>299</v>
      </c>
      <c r="C181" s="8" t="s">
        <v>300</v>
      </c>
      <c r="D181" s="8" t="s">
        <v>301</v>
      </c>
      <c r="E181" s="8" t="s">
        <v>436</v>
      </c>
      <c r="F181" s="8" t="s">
        <v>263</v>
      </c>
      <c r="G181" s="8" t="s">
        <v>437</v>
      </c>
      <c r="H181" s="9" t="s">
        <v>114</v>
      </c>
      <c r="I181" s="10"/>
      <c r="J181" s="11" t="n">
        <f aca="false">INT((ROW()-2)/50)+1</f>
        <v>4</v>
      </c>
      <c r="K181" s="11" t="str">
        <f aca="false">IF(H181="","Pending",IF(OR(H181="0",H181="1",H181="2",H181="U"),"Complete","Invalid"))</f>
        <v>Complete</v>
      </c>
    </row>
    <row r="182" customFormat="false" ht="84" hidden="false" customHeight="true" outlineLevel="0" collapsed="false">
      <c r="A182" s="8" t="s">
        <v>470</v>
      </c>
      <c r="B182" s="8" t="s">
        <v>134</v>
      </c>
      <c r="C182" s="8" t="s">
        <v>135</v>
      </c>
      <c r="D182" s="8" t="s">
        <v>136</v>
      </c>
      <c r="E182" s="8" t="s">
        <v>471</v>
      </c>
      <c r="F182" s="8" t="s">
        <v>38</v>
      </c>
      <c r="G182" s="8" t="s">
        <v>472</v>
      </c>
      <c r="H182" s="9" t="s">
        <v>18</v>
      </c>
      <c r="I182" s="10"/>
      <c r="J182" s="11" t="n">
        <f aca="false">INT((ROW()-2)/50)+1</f>
        <v>4</v>
      </c>
      <c r="K182" s="11" t="str">
        <f aca="false">IF(H182="","Pending",IF(OR(H182="0",H182="1",H182="2",H182="U"),"Complete","Invalid"))</f>
        <v>Complete</v>
      </c>
    </row>
    <row r="183" customFormat="false" ht="84" hidden="false" customHeight="true" outlineLevel="0" collapsed="false">
      <c r="A183" s="8" t="s">
        <v>473</v>
      </c>
      <c r="B183" s="8" t="s">
        <v>27</v>
      </c>
      <c r="C183" s="8" t="s">
        <v>28</v>
      </c>
      <c r="D183" s="8" t="s">
        <v>29</v>
      </c>
      <c r="E183" s="8" t="s">
        <v>137</v>
      </c>
      <c r="F183" s="8" t="s">
        <v>138</v>
      </c>
      <c r="G183" s="8" t="s">
        <v>139</v>
      </c>
      <c r="H183" s="9" t="s">
        <v>18</v>
      </c>
      <c r="I183" s="10"/>
      <c r="J183" s="11" t="n">
        <f aca="false">INT((ROW()-2)/50)+1</f>
        <v>4</v>
      </c>
      <c r="K183" s="11" t="str">
        <f aca="false">IF(H183="","Pending",IF(OR(H183="0",H183="1",H183="2",H183="U"),"Complete","Invalid"))</f>
        <v>Complete</v>
      </c>
    </row>
    <row r="184" customFormat="false" ht="84" hidden="false" customHeight="true" outlineLevel="0" collapsed="false">
      <c r="A184" s="8" t="s">
        <v>474</v>
      </c>
      <c r="B184" s="8" t="s">
        <v>341</v>
      </c>
      <c r="C184" s="8" t="s">
        <v>342</v>
      </c>
      <c r="D184" s="8" t="s">
        <v>343</v>
      </c>
      <c r="E184" s="8" t="s">
        <v>475</v>
      </c>
      <c r="F184" s="8" t="s">
        <v>142</v>
      </c>
      <c r="G184" s="8" t="s">
        <v>476</v>
      </c>
      <c r="H184" s="9" t="s">
        <v>18</v>
      </c>
      <c r="I184" s="10" t="s">
        <v>477</v>
      </c>
      <c r="J184" s="11" t="n">
        <f aca="false">INT((ROW()-2)/50)+1</f>
        <v>4</v>
      </c>
      <c r="K184" s="11" t="str">
        <f aca="false">IF(H184="","Pending",IF(OR(H184="0",H184="1",H184="2",H184="U"),"Complete","Invalid"))</f>
        <v>Complete</v>
      </c>
    </row>
    <row r="185" customFormat="false" ht="84" hidden="false" customHeight="true" outlineLevel="0" collapsed="false">
      <c r="A185" s="8" t="s">
        <v>478</v>
      </c>
      <c r="B185" s="8" t="s">
        <v>45</v>
      </c>
      <c r="C185" s="8" t="s">
        <v>46</v>
      </c>
      <c r="D185" s="8" t="s">
        <v>47</v>
      </c>
      <c r="E185" s="8" t="s">
        <v>116</v>
      </c>
      <c r="F185" s="8" t="s">
        <v>117</v>
      </c>
      <c r="G185" s="8" t="s">
        <v>118</v>
      </c>
      <c r="H185" s="9" t="s">
        <v>18</v>
      </c>
      <c r="I185" s="10"/>
      <c r="J185" s="11" t="n">
        <f aca="false">INT((ROW()-2)/50)+1</f>
        <v>4</v>
      </c>
      <c r="K185" s="11" t="str">
        <f aca="false">IF(H185="","Pending",IF(OR(H185="0",H185="1",H185="2",H185="U"),"Complete","Invalid"))</f>
        <v>Complete</v>
      </c>
    </row>
    <row r="186" customFormat="false" ht="84" hidden="false" customHeight="true" outlineLevel="0" collapsed="false">
      <c r="A186" s="8" t="s">
        <v>479</v>
      </c>
      <c r="B186" s="8" t="s">
        <v>248</v>
      </c>
      <c r="C186" s="8" t="s">
        <v>249</v>
      </c>
      <c r="D186" s="8" t="s">
        <v>250</v>
      </c>
      <c r="E186" s="8" t="s">
        <v>186</v>
      </c>
      <c r="F186" s="8" t="s">
        <v>73</v>
      </c>
      <c r="G186" s="8" t="s">
        <v>187</v>
      </c>
      <c r="H186" s="9" t="s">
        <v>18</v>
      </c>
      <c r="I186" s="10"/>
      <c r="J186" s="11" t="n">
        <f aca="false">INT((ROW()-2)/50)+1</f>
        <v>4</v>
      </c>
      <c r="K186" s="11" t="str">
        <f aca="false">IF(H186="","Pending",IF(OR(H186="0",H186="1",H186="2",H186="U"),"Complete","Invalid"))</f>
        <v>Complete</v>
      </c>
    </row>
    <row r="187" customFormat="false" ht="84" hidden="false" customHeight="true" outlineLevel="0" collapsed="false">
      <c r="A187" s="8" t="s">
        <v>480</v>
      </c>
      <c r="B187" s="8" t="s">
        <v>155</v>
      </c>
      <c r="C187" s="8" t="s">
        <v>156</v>
      </c>
      <c r="D187" s="8" t="s">
        <v>157</v>
      </c>
      <c r="E187" s="8" t="s">
        <v>481</v>
      </c>
      <c r="F187" s="8" t="s">
        <v>31</v>
      </c>
      <c r="G187" s="8" t="s">
        <v>482</v>
      </c>
      <c r="H187" s="9" t="s">
        <v>18</v>
      </c>
      <c r="I187" s="10"/>
      <c r="J187" s="11" t="n">
        <f aca="false">INT((ROW()-2)/50)+1</f>
        <v>4</v>
      </c>
      <c r="K187" s="11" t="str">
        <f aca="false">IF(H187="","Pending",IF(OR(H187="0",H187="1",H187="2",H187="U"),"Complete","Invalid"))</f>
        <v>Complete</v>
      </c>
    </row>
    <row r="188" customFormat="false" ht="84" hidden="false" customHeight="true" outlineLevel="0" collapsed="false">
      <c r="A188" s="8" t="s">
        <v>483</v>
      </c>
      <c r="B188" s="8" t="s">
        <v>76</v>
      </c>
      <c r="C188" s="8" t="s">
        <v>77</v>
      </c>
      <c r="D188" s="8" t="s">
        <v>78</v>
      </c>
      <c r="E188" s="8" t="s">
        <v>227</v>
      </c>
      <c r="F188" s="8" t="s">
        <v>216</v>
      </c>
      <c r="G188" s="8" t="s">
        <v>228</v>
      </c>
      <c r="H188" s="9" t="s">
        <v>114</v>
      </c>
      <c r="I188" s="10"/>
      <c r="J188" s="11" t="n">
        <f aca="false">INT((ROW()-2)/50)+1</f>
        <v>4</v>
      </c>
      <c r="K188" s="11" t="str">
        <f aca="false">IF(H188="","Pending",IF(OR(H188="0",H188="1",H188="2",H188="U"),"Complete","Invalid"))</f>
        <v>Complete</v>
      </c>
    </row>
    <row r="189" customFormat="false" ht="84" hidden="false" customHeight="true" outlineLevel="0" collapsed="false">
      <c r="A189" s="8" t="s">
        <v>484</v>
      </c>
      <c r="B189" s="8" t="s">
        <v>219</v>
      </c>
      <c r="C189" s="8" t="s">
        <v>220</v>
      </c>
      <c r="D189" s="8" t="s">
        <v>221</v>
      </c>
      <c r="E189" s="8" t="s">
        <v>390</v>
      </c>
      <c r="F189" s="8" t="s">
        <v>31</v>
      </c>
      <c r="G189" s="8" t="s">
        <v>391</v>
      </c>
      <c r="H189" s="9" t="s">
        <v>18</v>
      </c>
      <c r="I189" s="10"/>
      <c r="J189" s="11" t="n">
        <f aca="false">INT((ROW()-2)/50)+1</f>
        <v>4</v>
      </c>
      <c r="K189" s="11" t="str">
        <f aca="false">IF(H189="","Pending",IF(OR(H189="0",H189="1",H189="2",H189="U"),"Complete","Invalid"))</f>
        <v>Complete</v>
      </c>
    </row>
    <row r="190" customFormat="false" ht="84" hidden="false" customHeight="true" outlineLevel="0" collapsed="false">
      <c r="A190" s="8" t="s">
        <v>485</v>
      </c>
      <c r="B190" s="8" t="s">
        <v>148</v>
      </c>
      <c r="C190" s="8" t="s">
        <v>149</v>
      </c>
      <c r="D190" s="8" t="s">
        <v>150</v>
      </c>
      <c r="E190" s="8" t="s">
        <v>164</v>
      </c>
      <c r="F190" s="8" t="s">
        <v>73</v>
      </c>
      <c r="G190" s="8" t="s">
        <v>165</v>
      </c>
      <c r="H190" s="9" t="s">
        <v>18</v>
      </c>
      <c r="I190" s="10"/>
      <c r="J190" s="11" t="n">
        <f aca="false">INT((ROW()-2)/50)+1</f>
        <v>4</v>
      </c>
      <c r="K190" s="11" t="str">
        <f aca="false">IF(H190="","Pending",IF(OR(H190="0",H190="1",H190="2",H190="U"),"Complete","Invalid"))</f>
        <v>Complete</v>
      </c>
    </row>
    <row r="191" customFormat="false" ht="84" hidden="false" customHeight="true" outlineLevel="0" collapsed="false">
      <c r="A191" s="8" t="s">
        <v>486</v>
      </c>
      <c r="B191" s="8" t="s">
        <v>155</v>
      </c>
      <c r="C191" s="8" t="s">
        <v>156</v>
      </c>
      <c r="D191" s="8" t="s">
        <v>157</v>
      </c>
      <c r="E191" s="8" t="s">
        <v>72</v>
      </c>
      <c r="F191" s="8" t="s">
        <v>73</v>
      </c>
      <c r="G191" s="8" t="s">
        <v>74</v>
      </c>
      <c r="H191" s="9" t="s">
        <v>18</v>
      </c>
      <c r="I191" s="10"/>
      <c r="J191" s="11" t="n">
        <f aca="false">INT((ROW()-2)/50)+1</f>
        <v>4</v>
      </c>
      <c r="K191" s="11" t="str">
        <f aca="false">IF(H191="","Pending",IF(OR(H191="0",H191="1",H191="2",H191="U"),"Complete","Invalid"))</f>
        <v>Complete</v>
      </c>
    </row>
    <row r="192" customFormat="false" ht="84" hidden="false" customHeight="true" outlineLevel="0" collapsed="false">
      <c r="A192" s="8" t="s">
        <v>487</v>
      </c>
      <c r="B192" s="8" t="s">
        <v>58</v>
      </c>
      <c r="C192" s="8" t="s">
        <v>59</v>
      </c>
      <c r="D192" s="8" t="s">
        <v>60</v>
      </c>
      <c r="E192" s="8" t="s">
        <v>227</v>
      </c>
      <c r="F192" s="8" t="s">
        <v>216</v>
      </c>
      <c r="G192" s="8" t="s">
        <v>228</v>
      </c>
      <c r="H192" s="9" t="s">
        <v>18</v>
      </c>
      <c r="I192" s="10"/>
      <c r="J192" s="11" t="n">
        <f aca="false">INT((ROW()-2)/50)+1</f>
        <v>4</v>
      </c>
      <c r="K192" s="11" t="str">
        <f aca="false">IF(H192="","Pending",IF(OR(H192="0",H192="1",H192="2",H192="U"),"Complete","Invalid"))</f>
        <v>Complete</v>
      </c>
    </row>
    <row r="193" customFormat="false" ht="84" hidden="false" customHeight="true" outlineLevel="0" collapsed="false">
      <c r="A193" s="8" t="s">
        <v>488</v>
      </c>
      <c r="B193" s="8" t="s">
        <v>34</v>
      </c>
      <c r="C193" s="8" t="s">
        <v>35</v>
      </c>
      <c r="D193" s="8" t="s">
        <v>36</v>
      </c>
      <c r="E193" s="8" t="s">
        <v>401</v>
      </c>
      <c r="F193" s="8" t="s">
        <v>31</v>
      </c>
      <c r="G193" s="8" t="s">
        <v>402</v>
      </c>
      <c r="H193" s="9" t="s">
        <v>18</v>
      </c>
      <c r="I193" s="10"/>
      <c r="J193" s="11" t="n">
        <f aca="false">INT((ROW()-2)/50)+1</f>
        <v>4</v>
      </c>
      <c r="K193" s="11" t="str">
        <f aca="false">IF(H193="","Pending",IF(OR(H193="0",H193="1",H193="2",H193="U"),"Complete","Invalid"))</f>
        <v>Complete</v>
      </c>
    </row>
    <row r="194" customFormat="false" ht="84" hidden="false" customHeight="true" outlineLevel="0" collapsed="false">
      <c r="A194" s="8" t="s">
        <v>489</v>
      </c>
      <c r="B194" s="8" t="s">
        <v>123</v>
      </c>
      <c r="C194" s="8" t="s">
        <v>124</v>
      </c>
      <c r="D194" s="8" t="s">
        <v>125</v>
      </c>
      <c r="E194" s="8" t="s">
        <v>186</v>
      </c>
      <c r="F194" s="8" t="s">
        <v>73</v>
      </c>
      <c r="G194" s="8" t="s">
        <v>187</v>
      </c>
      <c r="H194" s="9" t="s">
        <v>18</v>
      </c>
      <c r="I194" s="10"/>
      <c r="J194" s="11" t="n">
        <f aca="false">INT((ROW()-2)/50)+1</f>
        <v>4</v>
      </c>
      <c r="K194" s="11" t="str">
        <f aca="false">IF(H194="","Pending",IF(OR(H194="0",H194="1",H194="2",H194="U"),"Complete","Invalid"))</f>
        <v>Complete</v>
      </c>
    </row>
    <row r="195" customFormat="false" ht="84" hidden="false" customHeight="true" outlineLevel="0" collapsed="false">
      <c r="A195" s="8" t="s">
        <v>490</v>
      </c>
      <c r="B195" s="8" t="s">
        <v>91</v>
      </c>
      <c r="C195" s="8" t="s">
        <v>92</v>
      </c>
      <c r="D195" s="8" t="s">
        <v>93</v>
      </c>
      <c r="E195" s="8" t="s">
        <v>72</v>
      </c>
      <c r="F195" s="8" t="s">
        <v>73</v>
      </c>
      <c r="G195" s="8" t="s">
        <v>74</v>
      </c>
      <c r="H195" s="9" t="s">
        <v>18</v>
      </c>
      <c r="I195" s="10"/>
      <c r="J195" s="11" t="n">
        <f aca="false">INT((ROW()-2)/50)+1</f>
        <v>4</v>
      </c>
      <c r="K195" s="11" t="str">
        <f aca="false">IF(H195="","Pending",IF(OR(H195="0",H195="1",H195="2",H195="U"),"Complete","Invalid"))</f>
        <v>Complete</v>
      </c>
    </row>
    <row r="196" customFormat="false" ht="84" hidden="false" customHeight="true" outlineLevel="0" collapsed="false">
      <c r="A196" s="8" t="s">
        <v>491</v>
      </c>
      <c r="B196" s="8" t="s">
        <v>105</v>
      </c>
      <c r="C196" s="8" t="s">
        <v>106</v>
      </c>
      <c r="D196" s="8" t="s">
        <v>107</v>
      </c>
      <c r="E196" s="8" t="s">
        <v>15</v>
      </c>
      <c r="F196" s="8" t="s">
        <v>16</v>
      </c>
      <c r="G196" s="8" t="s">
        <v>17</v>
      </c>
      <c r="H196" s="9" t="s">
        <v>18</v>
      </c>
      <c r="I196" s="10"/>
      <c r="J196" s="11" t="n">
        <f aca="false">INT((ROW()-2)/50)+1</f>
        <v>4</v>
      </c>
      <c r="K196" s="11" t="str">
        <f aca="false">IF(H196="","Pending",IF(OR(H196="0",H196="1",H196="2",H196="U"),"Complete","Invalid"))</f>
        <v>Complete</v>
      </c>
    </row>
    <row r="197" customFormat="false" ht="84" hidden="false" customHeight="true" outlineLevel="0" collapsed="false">
      <c r="A197" s="8" t="s">
        <v>492</v>
      </c>
      <c r="B197" s="8" t="s">
        <v>232</v>
      </c>
      <c r="C197" s="8" t="s">
        <v>233</v>
      </c>
      <c r="D197" s="8" t="s">
        <v>234</v>
      </c>
      <c r="E197" s="8" t="s">
        <v>174</v>
      </c>
      <c r="F197" s="8" t="s">
        <v>16</v>
      </c>
      <c r="G197" s="8" t="s">
        <v>175</v>
      </c>
      <c r="H197" s="9" t="s">
        <v>18</v>
      </c>
      <c r="I197" s="10"/>
      <c r="J197" s="11" t="n">
        <f aca="false">INT((ROW()-2)/50)+1</f>
        <v>4</v>
      </c>
      <c r="K197" s="11" t="str">
        <f aca="false">IF(H197="","Pending",IF(OR(H197="0",H197="1",H197="2",H197="U"),"Complete","Invalid"))</f>
        <v>Complete</v>
      </c>
    </row>
    <row r="198" customFormat="false" ht="84" hidden="false" customHeight="true" outlineLevel="0" collapsed="false">
      <c r="A198" s="8" t="s">
        <v>493</v>
      </c>
      <c r="B198" s="8" t="s">
        <v>219</v>
      </c>
      <c r="C198" s="8" t="s">
        <v>220</v>
      </c>
      <c r="D198" s="8" t="s">
        <v>221</v>
      </c>
      <c r="E198" s="8" t="s">
        <v>161</v>
      </c>
      <c r="F198" s="8" t="s">
        <v>117</v>
      </c>
      <c r="G198" s="8" t="s">
        <v>162</v>
      </c>
      <c r="H198" s="9" t="s">
        <v>18</v>
      </c>
      <c r="I198" s="10"/>
      <c r="J198" s="11" t="n">
        <f aca="false">INT((ROW()-2)/50)+1</f>
        <v>4</v>
      </c>
      <c r="K198" s="11" t="str">
        <f aca="false">IF(H198="","Pending",IF(OR(H198="0",H198="1",H198="2",H198="U"),"Complete","Invalid"))</f>
        <v>Complete</v>
      </c>
    </row>
    <row r="199" customFormat="false" ht="84" hidden="false" customHeight="true" outlineLevel="0" collapsed="false">
      <c r="A199" s="8" t="s">
        <v>494</v>
      </c>
      <c r="B199" s="8" t="s">
        <v>189</v>
      </c>
      <c r="C199" s="8" t="s">
        <v>190</v>
      </c>
      <c r="D199" s="8" t="s">
        <v>191</v>
      </c>
      <c r="E199" s="8" t="s">
        <v>375</v>
      </c>
      <c r="F199" s="8" t="s">
        <v>216</v>
      </c>
      <c r="G199" s="8" t="s">
        <v>376</v>
      </c>
      <c r="H199" s="9" t="s">
        <v>18</v>
      </c>
      <c r="I199" s="10"/>
      <c r="J199" s="11" t="n">
        <f aca="false">INT((ROW()-2)/50)+1</f>
        <v>4</v>
      </c>
      <c r="K199" s="11" t="str">
        <f aca="false">IF(H199="","Pending",IF(OR(H199="0",H199="1",H199="2",H199="U"),"Complete","Invalid"))</f>
        <v>Complete</v>
      </c>
    </row>
    <row r="200" customFormat="false" ht="84" hidden="false" customHeight="true" outlineLevel="0" collapsed="false">
      <c r="A200" s="8" t="s">
        <v>495</v>
      </c>
      <c r="B200" s="8" t="s">
        <v>123</v>
      </c>
      <c r="C200" s="8" t="s">
        <v>124</v>
      </c>
      <c r="D200" s="8" t="s">
        <v>125</v>
      </c>
      <c r="E200" s="8" t="s">
        <v>83</v>
      </c>
      <c r="F200" s="8" t="s">
        <v>84</v>
      </c>
      <c r="G200" s="8" t="s">
        <v>85</v>
      </c>
      <c r="H200" s="9" t="s">
        <v>18</v>
      </c>
      <c r="I200" s="10"/>
      <c r="J200" s="11" t="n">
        <f aca="false">INT((ROW()-2)/50)+1</f>
        <v>4</v>
      </c>
      <c r="K200" s="11" t="str">
        <f aca="false">IF(H200="","Pending",IF(OR(H200="0",H200="1",H200="2",H200="U"),"Complete","Invalid"))</f>
        <v>Complete</v>
      </c>
    </row>
    <row r="201" customFormat="false" ht="84" hidden="false" customHeight="true" outlineLevel="0" collapsed="false">
      <c r="A201" s="8" t="s">
        <v>496</v>
      </c>
      <c r="B201" s="8" t="s">
        <v>69</v>
      </c>
      <c r="C201" s="8" t="s">
        <v>70</v>
      </c>
      <c r="D201" s="8" t="s">
        <v>71</v>
      </c>
      <c r="E201" s="8" t="s">
        <v>37</v>
      </c>
      <c r="F201" s="8" t="s">
        <v>38</v>
      </c>
      <c r="G201" s="8" t="s">
        <v>39</v>
      </c>
      <c r="H201" s="9" t="s">
        <v>18</v>
      </c>
      <c r="I201" s="10"/>
      <c r="J201" s="11" t="n">
        <f aca="false">INT((ROW()-2)/50)+1</f>
        <v>4</v>
      </c>
      <c r="K201" s="11" t="str">
        <f aca="false">IF(H201="","Pending",IF(OR(H201="0",H201="1",H201="2",H201="U"),"Complete","Invalid"))</f>
        <v>Complete</v>
      </c>
    </row>
    <row r="202" customFormat="false" ht="84" hidden="false" customHeight="true" outlineLevel="0" collapsed="false">
      <c r="A202" s="8" t="s">
        <v>497</v>
      </c>
      <c r="B202" s="8" t="s">
        <v>105</v>
      </c>
      <c r="C202" s="8" t="s">
        <v>106</v>
      </c>
      <c r="D202" s="8" t="s">
        <v>107</v>
      </c>
      <c r="E202" s="8" t="s">
        <v>498</v>
      </c>
      <c r="F202" s="8" t="s">
        <v>62</v>
      </c>
      <c r="G202" s="8" t="s">
        <v>499</v>
      </c>
      <c r="H202" s="9" t="s">
        <v>114</v>
      </c>
      <c r="I202" s="10"/>
      <c r="J202" s="11" t="n">
        <f aca="false">INT((ROW()-2)/50)+1</f>
        <v>5</v>
      </c>
      <c r="K202" s="11" t="str">
        <f aca="false">IF(H202="","Pending",IF(OR(H202="0",H202="1",H202="2",H202="U"),"Complete","Invalid"))</f>
        <v>Complete</v>
      </c>
    </row>
    <row r="203" customFormat="false" ht="84" hidden="false" customHeight="true" outlineLevel="0" collapsed="false">
      <c r="A203" s="8" t="s">
        <v>500</v>
      </c>
      <c r="B203" s="8" t="s">
        <v>91</v>
      </c>
      <c r="C203" s="8" t="s">
        <v>92</v>
      </c>
      <c r="D203" s="8" t="s">
        <v>93</v>
      </c>
      <c r="E203" s="8" t="s">
        <v>372</v>
      </c>
      <c r="F203" s="8" t="s">
        <v>55</v>
      </c>
      <c r="G203" s="8" t="s">
        <v>373</v>
      </c>
      <c r="H203" s="9" t="s">
        <v>18</v>
      </c>
      <c r="I203" s="10"/>
      <c r="J203" s="11" t="n">
        <f aca="false">INT((ROW()-2)/50)+1</f>
        <v>5</v>
      </c>
      <c r="K203" s="11" t="str">
        <f aca="false">IF(H203="","Pending",IF(OR(H203="0",H203="1",H203="2",H203="U"),"Complete","Invalid"))</f>
        <v>Complete</v>
      </c>
    </row>
    <row r="204" customFormat="false" ht="84" hidden="false" customHeight="true" outlineLevel="0" collapsed="false">
      <c r="A204" s="8" t="s">
        <v>501</v>
      </c>
      <c r="B204" s="8" t="s">
        <v>232</v>
      </c>
      <c r="C204" s="8" t="s">
        <v>233</v>
      </c>
      <c r="D204" s="8" t="s">
        <v>234</v>
      </c>
      <c r="E204" s="8" t="s">
        <v>126</v>
      </c>
      <c r="F204" s="8" t="s">
        <v>73</v>
      </c>
      <c r="G204" s="8" t="s">
        <v>127</v>
      </c>
      <c r="H204" s="9" t="s">
        <v>132</v>
      </c>
      <c r="I204" s="10"/>
      <c r="J204" s="11" t="n">
        <f aca="false">INT((ROW()-2)/50)+1</f>
        <v>5</v>
      </c>
      <c r="K204" s="11" t="str">
        <f aca="false">IF(H204="","Pending",IF(OR(H204="0",H204="1",H204="2",H204="U"),"Complete","Invalid"))</f>
        <v>Complete</v>
      </c>
    </row>
    <row r="205" customFormat="false" ht="84" hidden="false" customHeight="true" outlineLevel="0" collapsed="false">
      <c r="A205" s="8" t="s">
        <v>502</v>
      </c>
      <c r="B205" s="8" t="s">
        <v>223</v>
      </c>
      <c r="C205" s="8" t="s">
        <v>224</v>
      </c>
      <c r="D205" s="8" t="s">
        <v>225</v>
      </c>
      <c r="E205" s="8" t="s">
        <v>244</v>
      </c>
      <c r="F205" s="8" t="s">
        <v>245</v>
      </c>
      <c r="G205" s="8" t="s">
        <v>246</v>
      </c>
      <c r="H205" s="9" t="s">
        <v>18</v>
      </c>
      <c r="I205" s="10"/>
      <c r="J205" s="11" t="n">
        <f aca="false">INT((ROW()-2)/50)+1</f>
        <v>5</v>
      </c>
      <c r="K205" s="11" t="str">
        <f aca="false">IF(H205="","Pending",IF(OR(H205="0",H205="1",H205="2",H205="U"),"Complete","Invalid"))</f>
        <v>Complete</v>
      </c>
    </row>
    <row r="206" customFormat="false" ht="84" hidden="false" customHeight="true" outlineLevel="0" collapsed="false">
      <c r="A206" s="8" t="s">
        <v>503</v>
      </c>
      <c r="B206" s="8" t="s">
        <v>76</v>
      </c>
      <c r="C206" s="8" t="s">
        <v>77</v>
      </c>
      <c r="D206" s="8" t="s">
        <v>78</v>
      </c>
      <c r="E206" s="8" t="s">
        <v>454</v>
      </c>
      <c r="F206" s="8" t="s">
        <v>380</v>
      </c>
      <c r="G206" s="8" t="s">
        <v>455</v>
      </c>
      <c r="H206" s="9" t="s">
        <v>18</v>
      </c>
      <c r="I206" s="10"/>
      <c r="J206" s="11" t="n">
        <f aca="false">INT((ROW()-2)/50)+1</f>
        <v>5</v>
      </c>
      <c r="K206" s="11" t="str">
        <f aca="false">IF(H206="","Pending",IF(OR(H206="0",H206="1",H206="2",H206="U"),"Complete","Invalid"))</f>
        <v>Complete</v>
      </c>
    </row>
    <row r="207" customFormat="false" ht="84" hidden="false" customHeight="true" outlineLevel="0" collapsed="false">
      <c r="A207" s="8" t="s">
        <v>504</v>
      </c>
      <c r="B207" s="8" t="s">
        <v>129</v>
      </c>
      <c r="C207" s="8" t="s">
        <v>130</v>
      </c>
      <c r="D207" s="8" t="s">
        <v>131</v>
      </c>
      <c r="E207" s="8" t="s">
        <v>372</v>
      </c>
      <c r="F207" s="8" t="s">
        <v>55</v>
      </c>
      <c r="G207" s="8" t="s">
        <v>373</v>
      </c>
      <c r="H207" s="9" t="s">
        <v>18</v>
      </c>
      <c r="I207" s="10"/>
      <c r="J207" s="11" t="n">
        <f aca="false">INT((ROW()-2)/50)+1</f>
        <v>5</v>
      </c>
      <c r="K207" s="11" t="str">
        <f aca="false">IF(H207="","Pending",IF(OR(H207="0",H207="1",H207="2",H207="U"),"Complete","Invalid"))</f>
        <v>Complete</v>
      </c>
    </row>
    <row r="208" customFormat="false" ht="84" hidden="false" customHeight="true" outlineLevel="0" collapsed="false">
      <c r="A208" s="8" t="s">
        <v>505</v>
      </c>
      <c r="B208" s="8" t="s">
        <v>209</v>
      </c>
      <c r="C208" s="8" t="s">
        <v>210</v>
      </c>
      <c r="D208" s="8" t="s">
        <v>211</v>
      </c>
      <c r="E208" s="8" t="s">
        <v>404</v>
      </c>
      <c r="F208" s="8" t="s">
        <v>66</v>
      </c>
      <c r="G208" s="8" t="s">
        <v>405</v>
      </c>
      <c r="H208" s="9" t="s">
        <v>18</v>
      </c>
      <c r="I208" s="10" t="s">
        <v>506</v>
      </c>
      <c r="J208" s="11" t="n">
        <f aca="false">INT((ROW()-2)/50)+1</f>
        <v>5</v>
      </c>
      <c r="K208" s="11" t="str">
        <f aca="false">IF(H208="","Pending",IF(OR(H208="0",H208="1",H208="2",H208="U"),"Complete","Invalid"))</f>
        <v>Complete</v>
      </c>
    </row>
    <row r="209" customFormat="false" ht="84" hidden="false" customHeight="true" outlineLevel="0" collapsed="false">
      <c r="A209" s="8" t="s">
        <v>507</v>
      </c>
      <c r="B209" s="8" t="s">
        <v>155</v>
      </c>
      <c r="C209" s="8" t="s">
        <v>156</v>
      </c>
      <c r="D209" s="8" t="s">
        <v>157</v>
      </c>
      <c r="E209" s="8" t="s">
        <v>244</v>
      </c>
      <c r="F209" s="8" t="s">
        <v>245</v>
      </c>
      <c r="G209" s="8" t="s">
        <v>246</v>
      </c>
      <c r="H209" s="9" t="s">
        <v>18</v>
      </c>
      <c r="I209" s="10"/>
      <c r="J209" s="11" t="n">
        <f aca="false">INT((ROW()-2)/50)+1</f>
        <v>5</v>
      </c>
      <c r="K209" s="11" t="str">
        <f aca="false">IF(H209="","Pending",IF(OR(H209="0",H209="1",H209="2",H209="U"),"Complete","Invalid"))</f>
        <v>Complete</v>
      </c>
    </row>
    <row r="210" customFormat="false" ht="84" hidden="false" customHeight="true" outlineLevel="0" collapsed="false">
      <c r="A210" s="8" t="s">
        <v>508</v>
      </c>
      <c r="B210" s="8" t="s">
        <v>123</v>
      </c>
      <c r="C210" s="8" t="s">
        <v>124</v>
      </c>
      <c r="D210" s="8" t="s">
        <v>125</v>
      </c>
      <c r="E210" s="8" t="s">
        <v>164</v>
      </c>
      <c r="F210" s="8" t="s">
        <v>73</v>
      </c>
      <c r="G210" s="8" t="s">
        <v>165</v>
      </c>
      <c r="H210" s="9" t="s">
        <v>18</v>
      </c>
      <c r="I210" s="10"/>
      <c r="J210" s="11" t="n">
        <f aca="false">INT((ROW()-2)/50)+1</f>
        <v>5</v>
      </c>
      <c r="K210" s="11" t="str">
        <f aca="false">IF(H210="","Pending",IF(OR(H210="0",H210="1",H210="2",H210="U"),"Complete","Invalid"))</f>
        <v>Complete</v>
      </c>
    </row>
    <row r="211" customFormat="false" ht="84" hidden="false" customHeight="true" outlineLevel="0" collapsed="false">
      <c r="A211" s="8" t="s">
        <v>509</v>
      </c>
      <c r="B211" s="8" t="s">
        <v>58</v>
      </c>
      <c r="C211" s="8" t="s">
        <v>59</v>
      </c>
      <c r="D211" s="8" t="s">
        <v>60</v>
      </c>
      <c r="E211" s="8" t="s">
        <v>126</v>
      </c>
      <c r="F211" s="8" t="s">
        <v>73</v>
      </c>
      <c r="G211" s="8" t="s">
        <v>127</v>
      </c>
      <c r="H211" s="9" t="s">
        <v>18</v>
      </c>
      <c r="I211" s="10"/>
      <c r="J211" s="11" t="n">
        <f aca="false">INT((ROW()-2)/50)+1</f>
        <v>5</v>
      </c>
      <c r="K211" s="11" t="str">
        <f aca="false">IF(H211="","Pending",IF(OR(H211="0",H211="1",H211="2",H211="U"),"Complete","Invalid"))</f>
        <v>Complete</v>
      </c>
    </row>
    <row r="212" customFormat="false" ht="84" hidden="false" customHeight="true" outlineLevel="0" collapsed="false">
      <c r="A212" s="8" t="s">
        <v>510</v>
      </c>
      <c r="B212" s="8" t="s">
        <v>198</v>
      </c>
      <c r="C212" s="8" t="s">
        <v>199</v>
      </c>
      <c r="D212" s="8" t="s">
        <v>200</v>
      </c>
      <c r="E212" s="8" t="s">
        <v>268</v>
      </c>
      <c r="F212" s="8" t="s">
        <v>84</v>
      </c>
      <c r="G212" s="8" t="s">
        <v>269</v>
      </c>
      <c r="H212" s="9" t="s">
        <v>18</v>
      </c>
      <c r="I212" s="10"/>
      <c r="J212" s="11" t="n">
        <f aca="false">INT((ROW()-2)/50)+1</f>
        <v>5</v>
      </c>
      <c r="K212" s="11" t="str">
        <f aca="false">IF(H212="","Pending",IF(OR(H212="0",H212="1",H212="2",H212="U"),"Complete","Invalid"))</f>
        <v>Complete</v>
      </c>
    </row>
    <row r="213" customFormat="false" ht="84" hidden="false" customHeight="true" outlineLevel="0" collapsed="false">
      <c r="A213" s="8" t="s">
        <v>511</v>
      </c>
      <c r="B213" s="8" t="s">
        <v>171</v>
      </c>
      <c r="C213" s="8" t="s">
        <v>172</v>
      </c>
      <c r="D213" s="8" t="s">
        <v>173</v>
      </c>
      <c r="E213" s="8" t="s">
        <v>512</v>
      </c>
      <c r="F213" s="8" t="s">
        <v>66</v>
      </c>
      <c r="G213" s="8" t="s">
        <v>513</v>
      </c>
      <c r="H213" s="9" t="s">
        <v>18</v>
      </c>
      <c r="I213" s="10"/>
      <c r="J213" s="11" t="n">
        <f aca="false">INT((ROW()-2)/50)+1</f>
        <v>5</v>
      </c>
      <c r="K213" s="11" t="str">
        <f aca="false">IF(H213="","Pending",IF(OR(H213="0",H213="1",H213="2",H213="U"),"Complete","Invalid"))</f>
        <v>Complete</v>
      </c>
    </row>
    <row r="214" customFormat="false" ht="84" hidden="false" customHeight="true" outlineLevel="0" collapsed="false">
      <c r="A214" s="8" t="s">
        <v>514</v>
      </c>
      <c r="B214" s="8" t="s">
        <v>189</v>
      </c>
      <c r="C214" s="8" t="s">
        <v>190</v>
      </c>
      <c r="D214" s="8" t="s">
        <v>191</v>
      </c>
      <c r="E214" s="8" t="s">
        <v>120</v>
      </c>
      <c r="F214" s="8" t="s">
        <v>31</v>
      </c>
      <c r="G214" s="8" t="s">
        <v>121</v>
      </c>
      <c r="H214" s="9" t="s">
        <v>18</v>
      </c>
      <c r="I214" s="10"/>
      <c r="J214" s="11" t="n">
        <f aca="false">INT((ROW()-2)/50)+1</f>
        <v>5</v>
      </c>
      <c r="K214" s="11" t="str">
        <f aca="false">IF(H214="","Pending",IF(OR(H214="0",H214="1",H214="2",H214="U"),"Complete","Invalid"))</f>
        <v>Complete</v>
      </c>
    </row>
    <row r="215" customFormat="false" ht="84" hidden="false" customHeight="true" outlineLevel="0" collapsed="false">
      <c r="A215" s="8" t="s">
        <v>515</v>
      </c>
      <c r="B215" s="8" t="s">
        <v>171</v>
      </c>
      <c r="C215" s="8" t="s">
        <v>172</v>
      </c>
      <c r="D215" s="8" t="s">
        <v>173</v>
      </c>
      <c r="E215" s="8" t="s">
        <v>102</v>
      </c>
      <c r="F215" s="8" t="s">
        <v>66</v>
      </c>
      <c r="G215" s="8" t="s">
        <v>103</v>
      </c>
      <c r="H215" s="9" t="s">
        <v>18</v>
      </c>
      <c r="I215" s="10"/>
      <c r="J215" s="11" t="n">
        <f aca="false">INT((ROW()-2)/50)+1</f>
        <v>5</v>
      </c>
      <c r="K215" s="11" t="str">
        <f aca="false">IF(H215="","Pending",IF(OR(H215="0",H215="1",H215="2",H215="U"),"Complete","Invalid"))</f>
        <v>Complete</v>
      </c>
    </row>
    <row r="216" customFormat="false" ht="84" hidden="false" customHeight="true" outlineLevel="0" collapsed="false">
      <c r="A216" s="8" t="s">
        <v>516</v>
      </c>
      <c r="B216" s="8" t="s">
        <v>98</v>
      </c>
      <c r="C216" s="8" t="s">
        <v>99</v>
      </c>
      <c r="D216" s="8" t="s">
        <v>100</v>
      </c>
      <c r="E216" s="8" t="s">
        <v>282</v>
      </c>
      <c r="F216" s="8" t="s">
        <v>24</v>
      </c>
      <c r="G216" s="8" t="s">
        <v>283</v>
      </c>
      <c r="H216" s="9" t="s">
        <v>132</v>
      </c>
      <c r="I216" s="10"/>
      <c r="J216" s="11" t="n">
        <f aca="false">INT((ROW()-2)/50)+1</f>
        <v>5</v>
      </c>
      <c r="K216" s="11" t="str">
        <f aca="false">IF(H216="","Pending",IF(OR(H216="0",H216="1",H216="2",H216="U"),"Complete","Invalid"))</f>
        <v>Complete</v>
      </c>
    </row>
    <row r="217" customFormat="false" ht="84" hidden="false" customHeight="true" outlineLevel="0" collapsed="false">
      <c r="A217" s="8" t="s">
        <v>517</v>
      </c>
      <c r="B217" s="8" t="s">
        <v>232</v>
      </c>
      <c r="C217" s="8" t="s">
        <v>233</v>
      </c>
      <c r="D217" s="8" t="s">
        <v>234</v>
      </c>
      <c r="E217" s="8" t="s">
        <v>244</v>
      </c>
      <c r="F217" s="8" t="s">
        <v>245</v>
      </c>
      <c r="G217" s="8" t="s">
        <v>246</v>
      </c>
      <c r="H217" s="9" t="s">
        <v>18</v>
      </c>
      <c r="I217" s="10"/>
      <c r="J217" s="11" t="n">
        <f aca="false">INT((ROW()-2)/50)+1</f>
        <v>5</v>
      </c>
      <c r="K217" s="11" t="str">
        <f aca="false">IF(H217="","Pending",IF(OR(H217="0",H217="1",H217="2",H217="U"),"Complete","Invalid"))</f>
        <v>Complete</v>
      </c>
    </row>
    <row r="218" customFormat="false" ht="84" hidden="false" customHeight="true" outlineLevel="0" collapsed="false">
      <c r="A218" s="8" t="s">
        <v>518</v>
      </c>
      <c r="B218" s="8" t="s">
        <v>91</v>
      </c>
      <c r="C218" s="8" t="s">
        <v>92</v>
      </c>
      <c r="D218" s="8" t="s">
        <v>93</v>
      </c>
      <c r="E218" s="8" t="s">
        <v>465</v>
      </c>
      <c r="F218" s="8" t="s">
        <v>31</v>
      </c>
      <c r="G218" s="8" t="s">
        <v>466</v>
      </c>
      <c r="H218" s="9" t="s">
        <v>18</v>
      </c>
      <c r="I218" s="10"/>
      <c r="J218" s="11" t="n">
        <f aca="false">INT((ROW()-2)/50)+1</f>
        <v>5</v>
      </c>
      <c r="K218" s="11" t="str">
        <f aca="false">IF(H218="","Pending",IF(OR(H218="0",H218="1",H218="2",H218="U"),"Complete","Invalid"))</f>
        <v>Complete</v>
      </c>
    </row>
    <row r="219" customFormat="false" ht="84" hidden="false" customHeight="true" outlineLevel="0" collapsed="false">
      <c r="A219" s="8" t="s">
        <v>519</v>
      </c>
      <c r="B219" s="8" t="s">
        <v>69</v>
      </c>
      <c r="C219" s="8" t="s">
        <v>70</v>
      </c>
      <c r="D219" s="8" t="s">
        <v>71</v>
      </c>
      <c r="E219" s="8" t="s">
        <v>375</v>
      </c>
      <c r="F219" s="8" t="s">
        <v>216</v>
      </c>
      <c r="G219" s="8" t="s">
        <v>376</v>
      </c>
      <c r="H219" s="9" t="s">
        <v>132</v>
      </c>
      <c r="I219" s="10"/>
      <c r="J219" s="11" t="n">
        <f aca="false">INT((ROW()-2)/50)+1</f>
        <v>5</v>
      </c>
      <c r="K219" s="11" t="str">
        <f aca="false">IF(H219="","Pending",IF(OR(H219="0",H219="1",H219="2",H219="U"),"Complete","Invalid"))</f>
        <v>Complete</v>
      </c>
    </row>
    <row r="220" customFormat="false" ht="84" hidden="false" customHeight="true" outlineLevel="0" collapsed="false">
      <c r="A220" s="8" t="s">
        <v>520</v>
      </c>
      <c r="B220" s="8" t="s">
        <v>12</v>
      </c>
      <c r="C220" s="8" t="s">
        <v>13</v>
      </c>
      <c r="D220" s="8" t="s">
        <v>14</v>
      </c>
      <c r="E220" s="8" t="s">
        <v>179</v>
      </c>
      <c r="F220" s="8" t="s">
        <v>66</v>
      </c>
      <c r="G220" s="8" t="s">
        <v>180</v>
      </c>
      <c r="H220" s="9" t="s">
        <v>114</v>
      </c>
      <c r="I220" s="10"/>
      <c r="J220" s="11" t="n">
        <f aca="false">INT((ROW()-2)/50)+1</f>
        <v>5</v>
      </c>
      <c r="K220" s="11" t="str">
        <f aca="false">IF(H220="","Pending",IF(OR(H220="0",H220="1",H220="2",H220="U"),"Complete","Invalid"))</f>
        <v>Complete</v>
      </c>
    </row>
    <row r="221" customFormat="false" ht="84" hidden="false" customHeight="true" outlineLevel="0" collapsed="false">
      <c r="A221" s="8" t="s">
        <v>521</v>
      </c>
      <c r="B221" s="8" t="s">
        <v>98</v>
      </c>
      <c r="C221" s="8" t="s">
        <v>99</v>
      </c>
      <c r="D221" s="8" t="s">
        <v>100</v>
      </c>
      <c r="E221" s="8" t="s">
        <v>522</v>
      </c>
      <c r="F221" s="8" t="s">
        <v>24</v>
      </c>
      <c r="G221" s="8" t="s">
        <v>523</v>
      </c>
      <c r="H221" s="9" t="s">
        <v>114</v>
      </c>
      <c r="I221" s="10" t="s">
        <v>524</v>
      </c>
      <c r="J221" s="11" t="n">
        <f aca="false">INT((ROW()-2)/50)+1</f>
        <v>5</v>
      </c>
      <c r="K221" s="11" t="str">
        <f aca="false">IF(H221="","Pending",IF(OR(H221="0",H221="1",H221="2",H221="U"),"Complete","Invalid"))</f>
        <v>Complete</v>
      </c>
    </row>
    <row r="222" customFormat="false" ht="84" hidden="false" customHeight="true" outlineLevel="0" collapsed="false">
      <c r="A222" s="8" t="s">
        <v>525</v>
      </c>
      <c r="B222" s="8" t="s">
        <v>41</v>
      </c>
      <c r="C222" s="8" t="s">
        <v>42</v>
      </c>
      <c r="D222" s="8" t="s">
        <v>43</v>
      </c>
      <c r="E222" s="8" t="s">
        <v>145</v>
      </c>
      <c r="F222" s="8" t="s">
        <v>95</v>
      </c>
      <c r="G222" s="8" t="s">
        <v>146</v>
      </c>
      <c r="H222" s="9" t="s">
        <v>18</v>
      </c>
      <c r="I222" s="10"/>
      <c r="J222" s="11" t="n">
        <f aca="false">INT((ROW()-2)/50)+1</f>
        <v>5</v>
      </c>
      <c r="K222" s="11" t="str">
        <f aca="false">IF(H222="","Pending",IF(OR(H222="0",H222="1",H222="2",H222="U"),"Complete","Invalid"))</f>
        <v>Complete</v>
      </c>
    </row>
    <row r="223" customFormat="false" ht="84" hidden="false" customHeight="true" outlineLevel="0" collapsed="false">
      <c r="A223" s="8" t="s">
        <v>526</v>
      </c>
      <c r="B223" s="8" t="s">
        <v>155</v>
      </c>
      <c r="C223" s="8" t="s">
        <v>156</v>
      </c>
      <c r="D223" s="8" t="s">
        <v>157</v>
      </c>
      <c r="E223" s="8" t="s">
        <v>401</v>
      </c>
      <c r="F223" s="8" t="s">
        <v>31</v>
      </c>
      <c r="G223" s="8" t="s">
        <v>402</v>
      </c>
      <c r="H223" s="9" t="s">
        <v>18</v>
      </c>
      <c r="I223" s="10"/>
      <c r="J223" s="11" t="n">
        <f aca="false">INT((ROW()-2)/50)+1</f>
        <v>5</v>
      </c>
      <c r="K223" s="11" t="str">
        <f aca="false">IF(H223="","Pending",IF(OR(H223="0",H223="1",H223="2",H223="U"),"Complete","Invalid"))</f>
        <v>Complete</v>
      </c>
    </row>
    <row r="224" customFormat="false" ht="84" hidden="false" customHeight="true" outlineLevel="0" collapsed="false">
      <c r="A224" s="8" t="s">
        <v>527</v>
      </c>
      <c r="B224" s="8" t="s">
        <v>259</v>
      </c>
      <c r="C224" s="8" t="s">
        <v>260</v>
      </c>
      <c r="D224" s="8" t="s">
        <v>261</v>
      </c>
      <c r="E224" s="8" t="s">
        <v>126</v>
      </c>
      <c r="F224" s="8" t="s">
        <v>73</v>
      </c>
      <c r="G224" s="8" t="s">
        <v>127</v>
      </c>
      <c r="H224" s="9" t="s">
        <v>18</v>
      </c>
      <c r="I224" s="10"/>
      <c r="J224" s="11" t="n">
        <f aca="false">INT((ROW()-2)/50)+1</f>
        <v>5</v>
      </c>
      <c r="K224" s="11" t="str">
        <f aca="false">IF(H224="","Pending",IF(OR(H224="0",H224="1",H224="2",H224="U"),"Complete","Invalid"))</f>
        <v>Complete</v>
      </c>
    </row>
    <row r="225" customFormat="false" ht="84" hidden="false" customHeight="true" outlineLevel="0" collapsed="false">
      <c r="A225" s="8" t="s">
        <v>528</v>
      </c>
      <c r="B225" s="8" t="s">
        <v>148</v>
      </c>
      <c r="C225" s="8" t="s">
        <v>149</v>
      </c>
      <c r="D225" s="8" t="s">
        <v>150</v>
      </c>
      <c r="E225" s="8" t="s">
        <v>529</v>
      </c>
      <c r="F225" s="8" t="s">
        <v>142</v>
      </c>
      <c r="G225" s="8" t="s">
        <v>530</v>
      </c>
      <c r="H225" s="9" t="s">
        <v>18</v>
      </c>
      <c r="I225" s="10" t="s">
        <v>317</v>
      </c>
      <c r="J225" s="11" t="n">
        <f aca="false">INT((ROW()-2)/50)+1</f>
        <v>5</v>
      </c>
      <c r="K225" s="11" t="str">
        <f aca="false">IF(H225="","Pending",IF(OR(H225="0",H225="1",H225="2",H225="U"),"Complete","Invalid"))</f>
        <v>Complete</v>
      </c>
    </row>
    <row r="226" customFormat="false" ht="84" hidden="false" customHeight="true" outlineLevel="0" collapsed="false">
      <c r="A226" s="8" t="s">
        <v>531</v>
      </c>
      <c r="B226" s="8" t="s">
        <v>312</v>
      </c>
      <c r="C226" s="8" t="s">
        <v>313</v>
      </c>
      <c r="D226" s="8" t="s">
        <v>314</v>
      </c>
      <c r="E226" s="8" t="s">
        <v>532</v>
      </c>
      <c r="F226" s="8" t="s">
        <v>38</v>
      </c>
      <c r="G226" s="8" t="s">
        <v>533</v>
      </c>
      <c r="H226" s="9" t="s">
        <v>114</v>
      </c>
      <c r="I226" s="10"/>
      <c r="J226" s="11" t="n">
        <f aca="false">INT((ROW()-2)/50)+1</f>
        <v>5</v>
      </c>
      <c r="K226" s="11" t="str">
        <f aca="false">IF(H226="","Pending",IF(OR(H226="0",H226="1",H226="2",H226="U"),"Complete","Invalid"))</f>
        <v>Complete</v>
      </c>
    </row>
    <row r="227" customFormat="false" ht="84" hidden="false" customHeight="true" outlineLevel="0" collapsed="false">
      <c r="A227" s="8" t="s">
        <v>534</v>
      </c>
      <c r="B227" s="8" t="s">
        <v>12</v>
      </c>
      <c r="C227" s="8" t="s">
        <v>13</v>
      </c>
      <c r="D227" s="8" t="s">
        <v>14</v>
      </c>
      <c r="E227" s="8" t="s">
        <v>268</v>
      </c>
      <c r="F227" s="8" t="s">
        <v>84</v>
      </c>
      <c r="G227" s="8" t="s">
        <v>269</v>
      </c>
      <c r="H227" s="9" t="s">
        <v>18</v>
      </c>
      <c r="I227" s="10"/>
      <c r="J227" s="11" t="n">
        <f aca="false">INT((ROW()-2)/50)+1</f>
        <v>5</v>
      </c>
      <c r="K227" s="11" t="str">
        <f aca="false">IF(H227="","Pending",IF(OR(H227="0",H227="1",H227="2",H227="U"),"Complete","Invalid"))</f>
        <v>Complete</v>
      </c>
    </row>
    <row r="228" customFormat="false" ht="84" hidden="false" customHeight="true" outlineLevel="0" collapsed="false">
      <c r="A228" s="8" t="s">
        <v>535</v>
      </c>
      <c r="B228" s="8" t="s">
        <v>51</v>
      </c>
      <c r="C228" s="8" t="s">
        <v>52</v>
      </c>
      <c r="D228" s="8" t="s">
        <v>53</v>
      </c>
      <c r="E228" s="8" t="s">
        <v>536</v>
      </c>
      <c r="F228" s="8" t="s">
        <v>109</v>
      </c>
      <c r="G228" s="8" t="s">
        <v>537</v>
      </c>
      <c r="H228" s="9" t="s">
        <v>114</v>
      </c>
      <c r="I228" s="10"/>
      <c r="J228" s="11" t="n">
        <f aca="false">INT((ROW()-2)/50)+1</f>
        <v>5</v>
      </c>
      <c r="K228" s="11" t="str">
        <f aca="false">IF(H228="","Pending",IF(OR(H228="0",H228="1",H228="2",H228="U"),"Complete","Invalid"))</f>
        <v>Complete</v>
      </c>
    </row>
    <row r="229" customFormat="false" ht="84" hidden="false" customHeight="true" outlineLevel="0" collapsed="false">
      <c r="A229" s="8" t="s">
        <v>538</v>
      </c>
      <c r="B229" s="8" t="s">
        <v>167</v>
      </c>
      <c r="C229" s="8" t="s">
        <v>168</v>
      </c>
      <c r="D229" s="8" t="s">
        <v>169</v>
      </c>
      <c r="E229" s="8" t="s">
        <v>539</v>
      </c>
      <c r="F229" s="8" t="s">
        <v>380</v>
      </c>
      <c r="G229" s="8" t="s">
        <v>540</v>
      </c>
      <c r="H229" s="9" t="s">
        <v>114</v>
      </c>
      <c r="I229" s="10" t="s">
        <v>541</v>
      </c>
      <c r="J229" s="11" t="n">
        <f aca="false">INT((ROW()-2)/50)+1</f>
        <v>5</v>
      </c>
      <c r="K229" s="11" t="str">
        <f aca="false">IF(H229="","Pending",IF(OR(H229="0",H229="1",H229="2",H229="U"),"Complete","Invalid"))</f>
        <v>Complete</v>
      </c>
    </row>
    <row r="230" customFormat="false" ht="84" hidden="false" customHeight="true" outlineLevel="0" collapsed="false">
      <c r="A230" s="8" t="s">
        <v>542</v>
      </c>
      <c r="B230" s="8" t="s">
        <v>27</v>
      </c>
      <c r="C230" s="8" t="s">
        <v>28</v>
      </c>
      <c r="D230" s="8" t="s">
        <v>29</v>
      </c>
      <c r="E230" s="8" t="s">
        <v>174</v>
      </c>
      <c r="F230" s="8" t="s">
        <v>16</v>
      </c>
      <c r="G230" s="8" t="s">
        <v>175</v>
      </c>
      <c r="H230" s="9" t="s">
        <v>18</v>
      </c>
      <c r="I230" s="10"/>
      <c r="J230" s="11" t="n">
        <f aca="false">INT((ROW()-2)/50)+1</f>
        <v>5</v>
      </c>
      <c r="K230" s="11" t="str">
        <f aca="false">IF(H230="","Pending",IF(OR(H230="0",H230="1",H230="2",H230="U"),"Complete","Invalid"))</f>
        <v>Complete</v>
      </c>
    </row>
    <row r="231" customFormat="false" ht="84" hidden="false" customHeight="true" outlineLevel="0" collapsed="false">
      <c r="A231" s="8" t="s">
        <v>543</v>
      </c>
      <c r="B231" s="8" t="s">
        <v>58</v>
      </c>
      <c r="C231" s="8" t="s">
        <v>59</v>
      </c>
      <c r="D231" s="8" t="s">
        <v>60</v>
      </c>
      <c r="E231" s="8" t="s">
        <v>290</v>
      </c>
      <c r="F231" s="8" t="s">
        <v>55</v>
      </c>
      <c r="G231" s="8" t="s">
        <v>291</v>
      </c>
      <c r="H231" s="9" t="s">
        <v>18</v>
      </c>
      <c r="I231" s="10"/>
      <c r="J231" s="11" t="n">
        <f aca="false">INT((ROW()-2)/50)+1</f>
        <v>5</v>
      </c>
      <c r="K231" s="11" t="str">
        <f aca="false">IF(H231="","Pending",IF(OR(H231="0",H231="1",H231="2",H231="U"),"Complete","Invalid"))</f>
        <v>Complete</v>
      </c>
    </row>
    <row r="232" customFormat="false" ht="84" hidden="false" customHeight="true" outlineLevel="0" collapsed="false">
      <c r="A232" s="8" t="s">
        <v>544</v>
      </c>
      <c r="B232" s="8" t="s">
        <v>76</v>
      </c>
      <c r="C232" s="8" t="s">
        <v>77</v>
      </c>
      <c r="D232" s="8" t="s">
        <v>78</v>
      </c>
      <c r="E232" s="8" t="s">
        <v>372</v>
      </c>
      <c r="F232" s="8" t="s">
        <v>55</v>
      </c>
      <c r="G232" s="8" t="s">
        <v>373</v>
      </c>
      <c r="H232" s="9" t="s">
        <v>18</v>
      </c>
      <c r="I232" s="10"/>
      <c r="J232" s="11" t="n">
        <f aca="false">INT((ROW()-2)/50)+1</f>
        <v>5</v>
      </c>
      <c r="K232" s="11" t="str">
        <f aca="false">IF(H232="","Pending",IF(OR(H232="0",H232="1",H232="2",H232="U"),"Complete","Invalid"))</f>
        <v>Complete</v>
      </c>
    </row>
    <row r="233" customFormat="false" ht="84" hidden="false" customHeight="true" outlineLevel="0" collapsed="false">
      <c r="A233" s="8" t="s">
        <v>545</v>
      </c>
      <c r="B233" s="8" t="s">
        <v>41</v>
      </c>
      <c r="C233" s="8" t="s">
        <v>42</v>
      </c>
      <c r="D233" s="8" t="s">
        <v>43</v>
      </c>
      <c r="E233" s="8" t="s">
        <v>108</v>
      </c>
      <c r="F233" s="8" t="s">
        <v>109</v>
      </c>
      <c r="G233" s="8" t="s">
        <v>110</v>
      </c>
      <c r="H233" s="9" t="s">
        <v>114</v>
      </c>
      <c r="I233" s="10"/>
      <c r="J233" s="11" t="n">
        <f aca="false">INT((ROW()-2)/50)+1</f>
        <v>5</v>
      </c>
      <c r="K233" s="11" t="str">
        <f aca="false">IF(H233="","Pending",IF(OR(H233="0",H233="1",H233="2",H233="U"),"Complete","Invalid"))</f>
        <v>Complete</v>
      </c>
    </row>
    <row r="234" customFormat="false" ht="84" hidden="false" customHeight="true" outlineLevel="0" collapsed="false">
      <c r="A234" s="8" t="s">
        <v>546</v>
      </c>
      <c r="B234" s="8" t="s">
        <v>41</v>
      </c>
      <c r="C234" s="8" t="s">
        <v>42</v>
      </c>
      <c r="D234" s="8" t="s">
        <v>43</v>
      </c>
      <c r="E234" s="8" t="s">
        <v>72</v>
      </c>
      <c r="F234" s="8" t="s">
        <v>73</v>
      </c>
      <c r="G234" s="8" t="s">
        <v>74</v>
      </c>
      <c r="H234" s="9" t="s">
        <v>18</v>
      </c>
      <c r="I234" s="10"/>
      <c r="J234" s="11" t="n">
        <f aca="false">INT((ROW()-2)/50)+1</f>
        <v>5</v>
      </c>
      <c r="K234" s="11" t="str">
        <f aca="false">IF(H234="","Pending",IF(OR(H234="0",H234="1",H234="2",H234="U"),"Complete","Invalid"))</f>
        <v>Complete</v>
      </c>
    </row>
    <row r="235" customFormat="false" ht="84" hidden="false" customHeight="true" outlineLevel="0" collapsed="false">
      <c r="A235" s="8" t="s">
        <v>547</v>
      </c>
      <c r="B235" s="8" t="s">
        <v>76</v>
      </c>
      <c r="C235" s="8" t="s">
        <v>77</v>
      </c>
      <c r="D235" s="8" t="s">
        <v>78</v>
      </c>
      <c r="E235" s="8" t="s">
        <v>158</v>
      </c>
      <c r="F235" s="8" t="s">
        <v>38</v>
      </c>
      <c r="G235" s="8" t="s">
        <v>159</v>
      </c>
      <c r="H235" s="9" t="s">
        <v>18</v>
      </c>
      <c r="I235" s="10"/>
      <c r="J235" s="11" t="n">
        <f aca="false">INT((ROW()-2)/50)+1</f>
        <v>5</v>
      </c>
      <c r="K235" s="11" t="str">
        <f aca="false">IF(H235="","Pending",IF(OR(H235="0",H235="1",H235="2",H235="U"),"Complete","Invalid"))</f>
        <v>Complete</v>
      </c>
    </row>
    <row r="236" customFormat="false" ht="84" hidden="false" customHeight="true" outlineLevel="0" collapsed="false">
      <c r="A236" s="8" t="s">
        <v>548</v>
      </c>
      <c r="B236" s="8" t="s">
        <v>248</v>
      </c>
      <c r="C236" s="8" t="s">
        <v>249</v>
      </c>
      <c r="D236" s="8" t="s">
        <v>250</v>
      </c>
      <c r="E236" s="8" t="s">
        <v>549</v>
      </c>
      <c r="F236" s="8" t="s">
        <v>31</v>
      </c>
      <c r="G236" s="8" t="s">
        <v>550</v>
      </c>
      <c r="H236" s="9" t="s">
        <v>18</v>
      </c>
      <c r="I236" s="10"/>
      <c r="J236" s="11" t="n">
        <f aca="false">INT((ROW()-2)/50)+1</f>
        <v>5</v>
      </c>
      <c r="K236" s="11" t="str">
        <f aca="false">IF(H236="","Pending",IF(OR(H236="0",H236="1",H236="2",H236="U"),"Complete","Invalid"))</f>
        <v>Complete</v>
      </c>
    </row>
    <row r="237" customFormat="false" ht="84" hidden="false" customHeight="true" outlineLevel="0" collapsed="false">
      <c r="A237" s="8" t="s">
        <v>551</v>
      </c>
      <c r="B237" s="8" t="s">
        <v>223</v>
      </c>
      <c r="C237" s="8" t="s">
        <v>224</v>
      </c>
      <c r="D237" s="8" t="s">
        <v>225</v>
      </c>
      <c r="E237" s="8" t="s">
        <v>54</v>
      </c>
      <c r="F237" s="8" t="s">
        <v>55</v>
      </c>
      <c r="G237" s="8" t="s">
        <v>56</v>
      </c>
      <c r="H237" s="9" t="s">
        <v>18</v>
      </c>
      <c r="I237" s="10"/>
      <c r="J237" s="11" t="n">
        <f aca="false">INT((ROW()-2)/50)+1</f>
        <v>5</v>
      </c>
      <c r="K237" s="11" t="str">
        <f aca="false">IF(H237="","Pending",IF(OR(H237="0",H237="1",H237="2",H237="U"),"Complete","Invalid"))</f>
        <v>Complete</v>
      </c>
    </row>
    <row r="238" customFormat="false" ht="84" hidden="false" customHeight="true" outlineLevel="0" collapsed="false">
      <c r="A238" s="8" t="s">
        <v>552</v>
      </c>
      <c r="B238" s="8" t="s">
        <v>259</v>
      </c>
      <c r="C238" s="8" t="s">
        <v>260</v>
      </c>
      <c r="D238" s="8" t="s">
        <v>261</v>
      </c>
      <c r="E238" s="8" t="s">
        <v>145</v>
      </c>
      <c r="F238" s="8" t="s">
        <v>95</v>
      </c>
      <c r="G238" s="8" t="s">
        <v>146</v>
      </c>
      <c r="H238" s="9" t="s">
        <v>18</v>
      </c>
      <c r="I238" s="10"/>
      <c r="J238" s="11" t="n">
        <f aca="false">INT((ROW()-2)/50)+1</f>
        <v>5</v>
      </c>
      <c r="K238" s="11" t="str">
        <f aca="false">IF(H238="","Pending",IF(OR(H238="0",H238="1",H238="2",H238="U"),"Complete","Invalid"))</f>
        <v>Complete</v>
      </c>
    </row>
    <row r="239" customFormat="false" ht="84" hidden="false" customHeight="true" outlineLevel="0" collapsed="false">
      <c r="A239" s="8" t="s">
        <v>553</v>
      </c>
      <c r="B239" s="8" t="s">
        <v>248</v>
      </c>
      <c r="C239" s="8" t="s">
        <v>249</v>
      </c>
      <c r="D239" s="8" t="s">
        <v>250</v>
      </c>
      <c r="E239" s="8" t="s">
        <v>319</v>
      </c>
      <c r="F239" s="8" t="s">
        <v>62</v>
      </c>
      <c r="G239" s="8" t="s">
        <v>320</v>
      </c>
      <c r="H239" s="9" t="s">
        <v>18</v>
      </c>
      <c r="I239" s="10"/>
      <c r="J239" s="11" t="n">
        <f aca="false">INT((ROW()-2)/50)+1</f>
        <v>5</v>
      </c>
      <c r="K239" s="11" t="str">
        <f aca="false">IF(H239="","Pending",IF(OR(H239="0",H239="1",H239="2",H239="U"),"Complete","Invalid"))</f>
        <v>Complete</v>
      </c>
    </row>
    <row r="240" customFormat="false" ht="84" hidden="false" customHeight="true" outlineLevel="0" collapsed="false">
      <c r="A240" s="8" t="s">
        <v>554</v>
      </c>
      <c r="B240" s="8" t="s">
        <v>69</v>
      </c>
      <c r="C240" s="8" t="s">
        <v>70</v>
      </c>
      <c r="D240" s="8" t="s">
        <v>71</v>
      </c>
      <c r="E240" s="8" t="s">
        <v>459</v>
      </c>
      <c r="F240" s="8" t="s">
        <v>460</v>
      </c>
      <c r="G240" s="8" t="s">
        <v>461</v>
      </c>
      <c r="H240" s="9" t="s">
        <v>18</v>
      </c>
      <c r="I240" s="10"/>
      <c r="J240" s="11" t="n">
        <f aca="false">INT((ROW()-2)/50)+1</f>
        <v>5</v>
      </c>
      <c r="K240" s="11" t="str">
        <f aca="false">IF(H240="","Pending",IF(OR(H240="0",H240="1",H240="2",H240="U"),"Complete","Invalid"))</f>
        <v>Complete</v>
      </c>
    </row>
    <row r="241" customFormat="false" ht="84" hidden="false" customHeight="true" outlineLevel="0" collapsed="false">
      <c r="A241" s="8" t="s">
        <v>555</v>
      </c>
      <c r="B241" s="8" t="s">
        <v>167</v>
      </c>
      <c r="C241" s="8" t="s">
        <v>168</v>
      </c>
      <c r="D241" s="8" t="s">
        <v>169</v>
      </c>
      <c r="E241" s="8" t="s">
        <v>529</v>
      </c>
      <c r="F241" s="8" t="s">
        <v>142</v>
      </c>
      <c r="G241" s="8" t="s">
        <v>530</v>
      </c>
      <c r="H241" s="9" t="s">
        <v>114</v>
      </c>
      <c r="I241" s="10"/>
      <c r="J241" s="11" t="n">
        <f aca="false">INT((ROW()-2)/50)+1</f>
        <v>5</v>
      </c>
      <c r="K241" s="11" t="str">
        <f aca="false">IF(H241="","Pending",IF(OR(H241="0",H241="1",H241="2",H241="U"),"Complete","Invalid"))</f>
        <v>Complete</v>
      </c>
    </row>
    <row r="242" customFormat="false" ht="84" hidden="false" customHeight="true" outlineLevel="0" collapsed="false">
      <c r="A242" s="8" t="s">
        <v>556</v>
      </c>
      <c r="B242" s="8" t="s">
        <v>232</v>
      </c>
      <c r="C242" s="8" t="s">
        <v>233</v>
      </c>
      <c r="D242" s="8" t="s">
        <v>234</v>
      </c>
      <c r="E242" s="8" t="s">
        <v>356</v>
      </c>
      <c r="F242" s="8" t="s">
        <v>66</v>
      </c>
      <c r="G242" s="8" t="s">
        <v>357</v>
      </c>
      <c r="H242" s="9" t="s">
        <v>18</v>
      </c>
      <c r="I242" s="10"/>
      <c r="J242" s="11" t="n">
        <f aca="false">INT((ROW()-2)/50)+1</f>
        <v>5</v>
      </c>
      <c r="K242" s="11" t="str">
        <f aca="false">IF(H242="","Pending",IF(OR(H242="0",H242="1",H242="2",H242="U"),"Complete","Invalid"))</f>
        <v>Complete</v>
      </c>
    </row>
    <row r="243" customFormat="false" ht="84" hidden="false" customHeight="true" outlineLevel="0" collapsed="false">
      <c r="A243" s="8" t="s">
        <v>557</v>
      </c>
      <c r="B243" s="8" t="s">
        <v>198</v>
      </c>
      <c r="C243" s="8" t="s">
        <v>199</v>
      </c>
      <c r="D243" s="8" t="s">
        <v>200</v>
      </c>
      <c r="E243" s="8" t="s">
        <v>356</v>
      </c>
      <c r="F243" s="8" t="s">
        <v>66</v>
      </c>
      <c r="G243" s="8" t="s">
        <v>357</v>
      </c>
      <c r="H243" s="9" t="s">
        <v>18</v>
      </c>
      <c r="I243" s="10"/>
      <c r="J243" s="11" t="n">
        <f aca="false">INT((ROW()-2)/50)+1</f>
        <v>5</v>
      </c>
      <c r="K243" s="11" t="str">
        <f aca="false">IF(H243="","Pending",IF(OR(H243="0",H243="1",H243="2",H243="U"),"Complete","Invalid"))</f>
        <v>Complete</v>
      </c>
    </row>
    <row r="244" customFormat="false" ht="84" hidden="false" customHeight="true" outlineLevel="0" collapsed="false">
      <c r="A244" s="8" t="s">
        <v>558</v>
      </c>
      <c r="B244" s="8" t="s">
        <v>41</v>
      </c>
      <c r="C244" s="8" t="s">
        <v>42</v>
      </c>
      <c r="D244" s="8" t="s">
        <v>43</v>
      </c>
      <c r="E244" s="8" t="s">
        <v>559</v>
      </c>
      <c r="F244" s="8" t="s">
        <v>202</v>
      </c>
      <c r="G244" s="8" t="s">
        <v>560</v>
      </c>
      <c r="H244" s="9" t="s">
        <v>114</v>
      </c>
      <c r="I244" s="10" t="s">
        <v>561</v>
      </c>
      <c r="J244" s="11" t="n">
        <f aca="false">INT((ROW()-2)/50)+1</f>
        <v>5</v>
      </c>
      <c r="K244" s="11" t="str">
        <f aca="false">IF(H244="","Pending",IF(OR(H244="0",H244="1",H244="2",H244="U"),"Complete","Invalid"))</f>
        <v>Complete</v>
      </c>
    </row>
    <row r="245" customFormat="false" ht="84" hidden="false" customHeight="true" outlineLevel="0" collapsed="false">
      <c r="A245" s="8" t="s">
        <v>562</v>
      </c>
      <c r="B245" s="8" t="s">
        <v>209</v>
      </c>
      <c r="C245" s="8" t="s">
        <v>210</v>
      </c>
      <c r="D245" s="8" t="s">
        <v>211</v>
      </c>
      <c r="E245" s="8" t="s">
        <v>116</v>
      </c>
      <c r="F245" s="8" t="s">
        <v>117</v>
      </c>
      <c r="G245" s="8" t="s">
        <v>118</v>
      </c>
      <c r="H245" s="9" t="s">
        <v>18</v>
      </c>
      <c r="I245" s="10"/>
      <c r="J245" s="11" t="n">
        <f aca="false">INT((ROW()-2)/50)+1</f>
        <v>5</v>
      </c>
      <c r="K245" s="11" t="str">
        <f aca="false">IF(H245="","Pending",IF(OR(H245="0",H245="1",H245="2",H245="U"),"Complete","Invalid"))</f>
        <v>Complete</v>
      </c>
    </row>
    <row r="246" customFormat="false" ht="84" hidden="false" customHeight="true" outlineLevel="0" collapsed="false">
      <c r="A246" s="8" t="s">
        <v>563</v>
      </c>
      <c r="B246" s="8" t="s">
        <v>69</v>
      </c>
      <c r="C246" s="8" t="s">
        <v>70</v>
      </c>
      <c r="D246" s="8" t="s">
        <v>71</v>
      </c>
      <c r="E246" s="8" t="s">
        <v>61</v>
      </c>
      <c r="F246" s="8" t="s">
        <v>62</v>
      </c>
      <c r="G246" s="8" t="s">
        <v>63</v>
      </c>
      <c r="H246" s="9" t="s">
        <v>18</v>
      </c>
      <c r="I246" s="10"/>
      <c r="J246" s="11" t="n">
        <f aca="false">INT((ROW()-2)/50)+1</f>
        <v>5</v>
      </c>
      <c r="K246" s="11" t="str">
        <f aca="false">IF(H246="","Pending",IF(OR(H246="0",H246="1",H246="2",H246="U"),"Complete","Invalid"))</f>
        <v>Complete</v>
      </c>
    </row>
    <row r="247" customFormat="false" ht="84" hidden="false" customHeight="true" outlineLevel="0" collapsed="false">
      <c r="A247" s="8" t="s">
        <v>564</v>
      </c>
      <c r="B247" s="8" t="s">
        <v>12</v>
      </c>
      <c r="C247" s="8" t="s">
        <v>13</v>
      </c>
      <c r="D247" s="8" t="s">
        <v>14</v>
      </c>
      <c r="E247" s="8" t="s">
        <v>65</v>
      </c>
      <c r="F247" s="8" t="s">
        <v>66</v>
      </c>
      <c r="G247" s="8" t="s">
        <v>67</v>
      </c>
      <c r="H247" s="9" t="s">
        <v>132</v>
      </c>
      <c r="I247" s="10"/>
      <c r="J247" s="11" t="n">
        <f aca="false">INT((ROW()-2)/50)+1</f>
        <v>5</v>
      </c>
      <c r="K247" s="11" t="str">
        <f aca="false">IF(H247="","Pending",IF(OR(H247="0",H247="1",H247="2",H247="U"),"Complete","Invalid"))</f>
        <v>Complete</v>
      </c>
    </row>
    <row r="248" customFormat="false" ht="84" hidden="false" customHeight="true" outlineLevel="0" collapsed="false">
      <c r="A248" s="8" t="s">
        <v>565</v>
      </c>
      <c r="B248" s="8" t="s">
        <v>129</v>
      </c>
      <c r="C248" s="8" t="s">
        <v>130</v>
      </c>
      <c r="D248" s="8" t="s">
        <v>131</v>
      </c>
      <c r="E248" s="8" t="s">
        <v>164</v>
      </c>
      <c r="F248" s="8" t="s">
        <v>73</v>
      </c>
      <c r="G248" s="8" t="s">
        <v>165</v>
      </c>
      <c r="H248" s="9" t="s">
        <v>18</v>
      </c>
      <c r="I248" s="10"/>
      <c r="J248" s="11" t="n">
        <f aca="false">INT((ROW()-2)/50)+1</f>
        <v>5</v>
      </c>
      <c r="K248" s="11" t="str">
        <f aca="false">IF(H248="","Pending",IF(OR(H248="0",H248="1",H248="2",H248="U"),"Complete","Invalid"))</f>
        <v>Complete</v>
      </c>
    </row>
    <row r="249" customFormat="false" ht="84" hidden="false" customHeight="true" outlineLevel="0" collapsed="false">
      <c r="A249" s="8" t="s">
        <v>566</v>
      </c>
      <c r="B249" s="8" t="s">
        <v>51</v>
      </c>
      <c r="C249" s="8" t="s">
        <v>52</v>
      </c>
      <c r="D249" s="8" t="s">
        <v>53</v>
      </c>
      <c r="E249" s="8" t="s">
        <v>195</v>
      </c>
      <c r="F249" s="8" t="s">
        <v>95</v>
      </c>
      <c r="G249" s="8" t="s">
        <v>196</v>
      </c>
      <c r="H249" s="9" t="s">
        <v>18</v>
      </c>
      <c r="I249" s="10"/>
      <c r="J249" s="11" t="n">
        <f aca="false">INT((ROW()-2)/50)+1</f>
        <v>5</v>
      </c>
      <c r="K249" s="11" t="str">
        <f aca="false">IF(H249="","Pending",IF(OR(H249="0",H249="1",H249="2",H249="U"),"Complete","Invalid"))</f>
        <v>Complete</v>
      </c>
    </row>
    <row r="250" customFormat="false" ht="84" hidden="false" customHeight="true" outlineLevel="0" collapsed="false">
      <c r="A250" s="8" t="s">
        <v>567</v>
      </c>
      <c r="B250" s="8" t="s">
        <v>209</v>
      </c>
      <c r="C250" s="8" t="s">
        <v>210</v>
      </c>
      <c r="D250" s="8" t="s">
        <v>211</v>
      </c>
      <c r="E250" s="8" t="s">
        <v>54</v>
      </c>
      <c r="F250" s="8" t="s">
        <v>55</v>
      </c>
      <c r="G250" s="8" t="s">
        <v>56</v>
      </c>
      <c r="H250" s="9" t="s">
        <v>18</v>
      </c>
      <c r="I250" s="10"/>
      <c r="J250" s="11" t="n">
        <f aca="false">INT((ROW()-2)/50)+1</f>
        <v>5</v>
      </c>
      <c r="K250" s="11" t="str">
        <f aca="false">IF(H250="","Pending",IF(OR(H250="0",H250="1",H250="2",H250="U"),"Complete","Invalid"))</f>
        <v>Complete</v>
      </c>
    </row>
    <row r="251" customFormat="false" ht="84" hidden="false" customHeight="true" outlineLevel="0" collapsed="false">
      <c r="A251" s="8" t="s">
        <v>568</v>
      </c>
      <c r="B251" s="8" t="s">
        <v>105</v>
      </c>
      <c r="C251" s="8" t="s">
        <v>106</v>
      </c>
      <c r="D251" s="8" t="s">
        <v>107</v>
      </c>
      <c r="E251" s="8" t="s">
        <v>569</v>
      </c>
      <c r="F251" s="8" t="s">
        <v>31</v>
      </c>
      <c r="G251" s="8" t="s">
        <v>570</v>
      </c>
      <c r="H251" s="9" t="s">
        <v>18</v>
      </c>
      <c r="I251" s="10"/>
      <c r="J251" s="11" t="n">
        <f aca="false">INT((ROW()-2)/50)+1</f>
        <v>5</v>
      </c>
      <c r="K251" s="11" t="str">
        <f aca="false">IF(H251="","Pending",IF(OR(H251="0",H251="1",H251="2",H251="U"),"Complete","Invalid"))</f>
        <v>Complete</v>
      </c>
    </row>
    <row r="252" customFormat="false" ht="84" hidden="false" customHeight="true" outlineLevel="0" collapsed="false">
      <c r="A252" s="8" t="s">
        <v>571</v>
      </c>
      <c r="B252" s="8" t="s">
        <v>129</v>
      </c>
      <c r="C252" s="8" t="s">
        <v>130</v>
      </c>
      <c r="D252" s="8" t="s">
        <v>131</v>
      </c>
      <c r="E252" s="8" t="s">
        <v>161</v>
      </c>
      <c r="F252" s="8" t="s">
        <v>117</v>
      </c>
      <c r="G252" s="8" t="s">
        <v>162</v>
      </c>
      <c r="H252" s="9" t="s">
        <v>18</v>
      </c>
      <c r="I252" s="10"/>
      <c r="J252" s="11" t="n">
        <f aca="false">INT((ROW()-2)/50)+1</f>
        <v>6</v>
      </c>
      <c r="K252" s="11" t="str">
        <f aca="false">IF(H252="","Pending",IF(OR(H252="0",H252="1",H252="2",H252="U"),"Complete","Invalid"))</f>
        <v>Complete</v>
      </c>
    </row>
    <row r="253" customFormat="false" ht="84" hidden="false" customHeight="true" outlineLevel="0" collapsed="false">
      <c r="A253" s="8" t="s">
        <v>572</v>
      </c>
      <c r="B253" s="8" t="s">
        <v>41</v>
      </c>
      <c r="C253" s="8" t="s">
        <v>42</v>
      </c>
      <c r="D253" s="8" t="s">
        <v>43</v>
      </c>
      <c r="E253" s="8" t="s">
        <v>275</v>
      </c>
      <c r="F253" s="8" t="s">
        <v>142</v>
      </c>
      <c r="G253" s="8" t="s">
        <v>276</v>
      </c>
      <c r="H253" s="9" t="s">
        <v>18</v>
      </c>
      <c r="I253" s="10"/>
      <c r="J253" s="11" t="n">
        <f aca="false">INT((ROW()-2)/50)+1</f>
        <v>6</v>
      </c>
      <c r="K253" s="11" t="str">
        <f aca="false">IF(H253="","Pending",IF(OR(H253="0",H253="1",H253="2",H253="U"),"Complete","Invalid"))</f>
        <v>Complete</v>
      </c>
    </row>
    <row r="254" customFormat="false" ht="84" hidden="false" customHeight="true" outlineLevel="0" collapsed="false">
      <c r="A254" s="8" t="s">
        <v>573</v>
      </c>
      <c r="B254" s="8" t="s">
        <v>198</v>
      </c>
      <c r="C254" s="8" t="s">
        <v>199</v>
      </c>
      <c r="D254" s="8" t="s">
        <v>200</v>
      </c>
      <c r="E254" s="8" t="s">
        <v>372</v>
      </c>
      <c r="F254" s="8" t="s">
        <v>55</v>
      </c>
      <c r="G254" s="8" t="s">
        <v>373</v>
      </c>
      <c r="H254" s="9" t="s">
        <v>18</v>
      </c>
      <c r="I254" s="10"/>
      <c r="J254" s="11" t="n">
        <f aca="false">INT((ROW()-2)/50)+1</f>
        <v>6</v>
      </c>
      <c r="K254" s="11" t="str">
        <f aca="false">IF(H254="","Pending",IF(OR(H254="0",H254="1",H254="2",H254="U"),"Complete","Invalid"))</f>
        <v>Complete</v>
      </c>
    </row>
    <row r="255" customFormat="false" ht="84" hidden="false" customHeight="true" outlineLevel="0" collapsed="false">
      <c r="A255" s="8" t="s">
        <v>574</v>
      </c>
      <c r="B255" s="8" t="s">
        <v>299</v>
      </c>
      <c r="C255" s="8" t="s">
        <v>300</v>
      </c>
      <c r="D255" s="8" t="s">
        <v>301</v>
      </c>
      <c r="E255" s="8" t="s">
        <v>375</v>
      </c>
      <c r="F255" s="8" t="s">
        <v>216</v>
      </c>
      <c r="G255" s="8" t="s">
        <v>376</v>
      </c>
      <c r="H255" s="9" t="s">
        <v>18</v>
      </c>
      <c r="I255" s="10"/>
      <c r="J255" s="11" t="n">
        <f aca="false">INT((ROW()-2)/50)+1</f>
        <v>6</v>
      </c>
      <c r="K255" s="11" t="str">
        <f aca="false">IF(H255="","Pending",IF(OR(H255="0",H255="1",H255="2",H255="U"),"Complete","Invalid"))</f>
        <v>Complete</v>
      </c>
    </row>
    <row r="256" customFormat="false" ht="84" hidden="false" customHeight="true" outlineLevel="0" collapsed="false">
      <c r="A256" s="8" t="s">
        <v>575</v>
      </c>
      <c r="B256" s="8" t="s">
        <v>198</v>
      </c>
      <c r="C256" s="8" t="s">
        <v>199</v>
      </c>
      <c r="D256" s="8" t="s">
        <v>200</v>
      </c>
      <c r="E256" s="8" t="s">
        <v>83</v>
      </c>
      <c r="F256" s="8" t="s">
        <v>84</v>
      </c>
      <c r="G256" s="8" t="s">
        <v>85</v>
      </c>
      <c r="H256" s="9" t="s">
        <v>18</v>
      </c>
      <c r="I256" s="10"/>
      <c r="J256" s="11" t="n">
        <f aca="false">INT((ROW()-2)/50)+1</f>
        <v>6</v>
      </c>
      <c r="K256" s="11" t="str">
        <f aca="false">IF(H256="","Pending",IF(OR(H256="0",H256="1",H256="2",H256="U"),"Complete","Invalid"))</f>
        <v>Complete</v>
      </c>
    </row>
    <row r="257" customFormat="false" ht="84" hidden="false" customHeight="true" outlineLevel="0" collapsed="false">
      <c r="A257" s="8" t="s">
        <v>576</v>
      </c>
      <c r="B257" s="8" t="s">
        <v>155</v>
      </c>
      <c r="C257" s="8" t="s">
        <v>156</v>
      </c>
      <c r="D257" s="8" t="s">
        <v>157</v>
      </c>
      <c r="E257" s="8" t="s">
        <v>262</v>
      </c>
      <c r="F257" s="8" t="s">
        <v>263</v>
      </c>
      <c r="G257" s="8" t="s">
        <v>264</v>
      </c>
      <c r="H257" s="9" t="s">
        <v>18</v>
      </c>
      <c r="I257" s="10"/>
      <c r="J257" s="11" t="n">
        <f aca="false">INT((ROW()-2)/50)+1</f>
        <v>6</v>
      </c>
      <c r="K257" s="11" t="str">
        <f aca="false">IF(H257="","Pending",IF(OR(H257="0",H257="1",H257="2",H257="U"),"Complete","Invalid"))</f>
        <v>Complete</v>
      </c>
    </row>
    <row r="258" customFormat="false" ht="84" hidden="false" customHeight="true" outlineLevel="0" collapsed="false">
      <c r="A258" s="8" t="s">
        <v>577</v>
      </c>
      <c r="B258" s="8" t="s">
        <v>209</v>
      </c>
      <c r="C258" s="8" t="s">
        <v>210</v>
      </c>
      <c r="D258" s="8" t="s">
        <v>211</v>
      </c>
      <c r="E258" s="8" t="s">
        <v>536</v>
      </c>
      <c r="F258" s="8" t="s">
        <v>109</v>
      </c>
      <c r="G258" s="8" t="s">
        <v>537</v>
      </c>
      <c r="H258" s="9" t="s">
        <v>132</v>
      </c>
      <c r="I258" s="10"/>
      <c r="J258" s="11" t="n">
        <f aca="false">INT((ROW()-2)/50)+1</f>
        <v>6</v>
      </c>
      <c r="K258" s="11" t="str">
        <f aca="false">IF(H258="","Pending",IF(OR(H258="0",H258="1",H258="2",H258="U"),"Complete","Invalid"))</f>
        <v>Complete</v>
      </c>
    </row>
    <row r="259" customFormat="false" ht="84" hidden="false" customHeight="true" outlineLevel="0" collapsed="false">
      <c r="A259" s="8" t="s">
        <v>578</v>
      </c>
      <c r="B259" s="8" t="s">
        <v>189</v>
      </c>
      <c r="C259" s="8" t="s">
        <v>190</v>
      </c>
      <c r="D259" s="8" t="s">
        <v>191</v>
      </c>
      <c r="E259" s="8" t="s">
        <v>252</v>
      </c>
      <c r="F259" s="8" t="s">
        <v>138</v>
      </c>
      <c r="G259" s="8" t="s">
        <v>253</v>
      </c>
      <c r="H259" s="9" t="s">
        <v>18</v>
      </c>
      <c r="I259" s="10"/>
      <c r="J259" s="11" t="n">
        <f aca="false">INT((ROW()-2)/50)+1</f>
        <v>6</v>
      </c>
      <c r="K259" s="11" t="str">
        <f aca="false">IF(H259="","Pending",IF(OR(H259="0",H259="1",H259="2",H259="U"),"Complete","Invalid"))</f>
        <v>Complete</v>
      </c>
    </row>
    <row r="260" customFormat="false" ht="84" hidden="false" customHeight="true" outlineLevel="0" collapsed="false">
      <c r="A260" s="8" t="s">
        <v>579</v>
      </c>
      <c r="B260" s="8" t="s">
        <v>98</v>
      </c>
      <c r="C260" s="8" t="s">
        <v>99</v>
      </c>
      <c r="D260" s="8" t="s">
        <v>100</v>
      </c>
      <c r="E260" s="8" t="s">
        <v>262</v>
      </c>
      <c r="F260" s="8" t="s">
        <v>263</v>
      </c>
      <c r="G260" s="8" t="s">
        <v>264</v>
      </c>
      <c r="H260" s="9" t="s">
        <v>132</v>
      </c>
      <c r="I260" s="10"/>
      <c r="J260" s="11" t="n">
        <f aca="false">INT((ROW()-2)/50)+1</f>
        <v>6</v>
      </c>
      <c r="K260" s="11" t="str">
        <f aca="false">IF(H260="","Pending",IF(OR(H260="0",H260="1",H260="2",H260="U"),"Complete","Invalid"))</f>
        <v>Complete</v>
      </c>
    </row>
    <row r="261" customFormat="false" ht="84" hidden="false" customHeight="true" outlineLevel="0" collapsed="false">
      <c r="A261" s="8" t="s">
        <v>580</v>
      </c>
      <c r="B261" s="8" t="s">
        <v>171</v>
      </c>
      <c r="C261" s="8" t="s">
        <v>172</v>
      </c>
      <c r="D261" s="8" t="s">
        <v>173</v>
      </c>
      <c r="E261" s="8" t="s">
        <v>94</v>
      </c>
      <c r="F261" s="8" t="s">
        <v>95</v>
      </c>
      <c r="G261" s="8" t="s">
        <v>96</v>
      </c>
      <c r="H261" s="9" t="s">
        <v>132</v>
      </c>
      <c r="I261" s="10"/>
      <c r="J261" s="11" t="n">
        <f aca="false">INT((ROW()-2)/50)+1</f>
        <v>6</v>
      </c>
      <c r="K261" s="11" t="str">
        <f aca="false">IF(H261="","Pending",IF(OR(H261="0",H261="1",H261="2",H261="U"),"Complete","Invalid"))</f>
        <v>Complete</v>
      </c>
    </row>
    <row r="262" customFormat="false" ht="84" hidden="false" customHeight="true" outlineLevel="0" collapsed="false">
      <c r="A262" s="8" t="s">
        <v>581</v>
      </c>
      <c r="B262" s="8" t="s">
        <v>80</v>
      </c>
      <c r="C262" s="8" t="s">
        <v>81</v>
      </c>
      <c r="D262" s="8" t="s">
        <v>82</v>
      </c>
      <c r="E262" s="8" t="s">
        <v>268</v>
      </c>
      <c r="F262" s="8" t="s">
        <v>84</v>
      </c>
      <c r="G262" s="8" t="s">
        <v>269</v>
      </c>
      <c r="H262" s="9" t="s">
        <v>18</v>
      </c>
      <c r="I262" s="10"/>
      <c r="J262" s="11" t="n">
        <f aca="false">INT((ROW()-2)/50)+1</f>
        <v>6</v>
      </c>
      <c r="K262" s="11" t="str">
        <f aca="false">IF(H262="","Pending",IF(OR(H262="0",H262="1",H262="2",H262="U"),"Complete","Invalid"))</f>
        <v>Complete</v>
      </c>
    </row>
    <row r="263" customFormat="false" ht="84" hidden="false" customHeight="true" outlineLevel="0" collapsed="false">
      <c r="A263" s="8" t="s">
        <v>582</v>
      </c>
      <c r="B263" s="8" t="s">
        <v>232</v>
      </c>
      <c r="C263" s="8" t="s">
        <v>233</v>
      </c>
      <c r="D263" s="8" t="s">
        <v>234</v>
      </c>
      <c r="E263" s="8" t="s">
        <v>583</v>
      </c>
      <c r="F263" s="8" t="s">
        <v>38</v>
      </c>
      <c r="G263" s="8" t="s">
        <v>584</v>
      </c>
      <c r="H263" s="9" t="s">
        <v>18</v>
      </c>
      <c r="I263" s="10"/>
      <c r="J263" s="11" t="n">
        <f aca="false">INT((ROW()-2)/50)+1</f>
        <v>6</v>
      </c>
      <c r="K263" s="11" t="str">
        <f aca="false">IF(H263="","Pending",IF(OR(H263="0",H263="1",H263="2",H263="U"),"Complete","Invalid"))</f>
        <v>Complete</v>
      </c>
    </row>
    <row r="264" customFormat="false" ht="84" hidden="false" customHeight="true" outlineLevel="0" collapsed="false">
      <c r="A264" s="8" t="s">
        <v>585</v>
      </c>
      <c r="B264" s="8" t="s">
        <v>148</v>
      </c>
      <c r="C264" s="8" t="s">
        <v>149</v>
      </c>
      <c r="D264" s="8" t="s">
        <v>150</v>
      </c>
      <c r="E264" s="8" t="s">
        <v>475</v>
      </c>
      <c r="F264" s="8" t="s">
        <v>142</v>
      </c>
      <c r="G264" s="8" t="s">
        <v>476</v>
      </c>
      <c r="H264" s="9" t="s">
        <v>18</v>
      </c>
      <c r="I264" s="10" t="s">
        <v>317</v>
      </c>
      <c r="J264" s="11" t="n">
        <f aca="false">INT((ROW()-2)/50)+1</f>
        <v>6</v>
      </c>
      <c r="K264" s="11" t="str">
        <f aca="false">IF(H264="","Pending",IF(OR(H264="0",H264="1",H264="2",H264="U"),"Complete","Invalid"))</f>
        <v>Complete</v>
      </c>
    </row>
    <row r="265" customFormat="false" ht="84" hidden="false" customHeight="true" outlineLevel="0" collapsed="false">
      <c r="A265" s="8" t="s">
        <v>586</v>
      </c>
      <c r="B265" s="8" t="s">
        <v>123</v>
      </c>
      <c r="C265" s="8" t="s">
        <v>124</v>
      </c>
      <c r="D265" s="8" t="s">
        <v>125</v>
      </c>
      <c r="E265" s="8" t="s">
        <v>54</v>
      </c>
      <c r="F265" s="8" t="s">
        <v>55</v>
      </c>
      <c r="G265" s="8" t="s">
        <v>56</v>
      </c>
      <c r="H265" s="9" t="s">
        <v>18</v>
      </c>
      <c r="I265" s="10"/>
      <c r="J265" s="11" t="n">
        <f aca="false">INT((ROW()-2)/50)+1</f>
        <v>6</v>
      </c>
      <c r="K265" s="11" t="str">
        <f aca="false">IF(H265="","Pending",IF(OR(H265="0",H265="1",H265="2",H265="U"),"Complete","Invalid"))</f>
        <v>Complete</v>
      </c>
    </row>
    <row r="266" customFormat="false" ht="84" hidden="false" customHeight="true" outlineLevel="0" collapsed="false">
      <c r="A266" s="8" t="s">
        <v>587</v>
      </c>
      <c r="B266" s="8" t="s">
        <v>45</v>
      </c>
      <c r="C266" s="8" t="s">
        <v>46</v>
      </c>
      <c r="D266" s="8" t="s">
        <v>47</v>
      </c>
      <c r="E266" s="8" t="s">
        <v>83</v>
      </c>
      <c r="F266" s="8" t="s">
        <v>84</v>
      </c>
      <c r="G266" s="8" t="s">
        <v>85</v>
      </c>
      <c r="H266" s="9" t="s">
        <v>18</v>
      </c>
      <c r="I266" s="10"/>
      <c r="J266" s="11" t="n">
        <f aca="false">INT((ROW()-2)/50)+1</f>
        <v>6</v>
      </c>
      <c r="K266" s="11" t="str">
        <f aca="false">IF(H266="","Pending",IF(OR(H266="0",H266="1",H266="2",H266="U"),"Complete","Invalid"))</f>
        <v>Complete</v>
      </c>
    </row>
    <row r="267" customFormat="false" ht="84" hidden="false" customHeight="true" outlineLevel="0" collapsed="false">
      <c r="A267" s="8" t="s">
        <v>588</v>
      </c>
      <c r="B267" s="8" t="s">
        <v>58</v>
      </c>
      <c r="C267" s="8" t="s">
        <v>59</v>
      </c>
      <c r="D267" s="8" t="s">
        <v>60</v>
      </c>
      <c r="E267" s="8" t="s">
        <v>375</v>
      </c>
      <c r="F267" s="8" t="s">
        <v>216</v>
      </c>
      <c r="G267" s="8" t="s">
        <v>376</v>
      </c>
      <c r="H267" s="9" t="s">
        <v>18</v>
      </c>
      <c r="I267" s="10"/>
      <c r="J267" s="11" t="n">
        <f aca="false">INT((ROW()-2)/50)+1</f>
        <v>6</v>
      </c>
      <c r="K267" s="11" t="str">
        <f aca="false">IF(H267="","Pending",IF(OR(H267="0",H267="1",H267="2",H267="U"),"Complete","Invalid"))</f>
        <v>Complete</v>
      </c>
    </row>
    <row r="268" customFormat="false" ht="84" hidden="false" customHeight="true" outlineLevel="0" collapsed="false">
      <c r="A268" s="8" t="s">
        <v>589</v>
      </c>
      <c r="B268" s="8" t="s">
        <v>12</v>
      </c>
      <c r="C268" s="8" t="s">
        <v>13</v>
      </c>
      <c r="D268" s="8" t="s">
        <v>14</v>
      </c>
      <c r="E268" s="8" t="s">
        <v>186</v>
      </c>
      <c r="F268" s="8" t="s">
        <v>73</v>
      </c>
      <c r="G268" s="8" t="s">
        <v>187</v>
      </c>
      <c r="H268" s="9" t="s">
        <v>18</v>
      </c>
      <c r="I268" s="10"/>
      <c r="J268" s="11" t="n">
        <f aca="false">INT((ROW()-2)/50)+1</f>
        <v>6</v>
      </c>
      <c r="K268" s="11" t="str">
        <f aca="false">IF(H268="","Pending",IF(OR(H268="0",H268="1",H268="2",H268="U"),"Complete","Invalid"))</f>
        <v>Complete</v>
      </c>
    </row>
    <row r="269" customFormat="false" ht="84" hidden="false" customHeight="true" outlineLevel="0" collapsed="false">
      <c r="A269" s="8" t="s">
        <v>590</v>
      </c>
      <c r="B269" s="8" t="s">
        <v>69</v>
      </c>
      <c r="C269" s="8" t="s">
        <v>70</v>
      </c>
      <c r="D269" s="8" t="s">
        <v>71</v>
      </c>
      <c r="E269" s="8" t="s">
        <v>120</v>
      </c>
      <c r="F269" s="8" t="s">
        <v>31</v>
      </c>
      <c r="G269" s="8" t="s">
        <v>121</v>
      </c>
      <c r="H269" s="9" t="s">
        <v>18</v>
      </c>
      <c r="I269" s="10"/>
      <c r="J269" s="11" t="n">
        <f aca="false">INT((ROW()-2)/50)+1</f>
        <v>6</v>
      </c>
      <c r="K269" s="11" t="str">
        <f aca="false">IF(H269="","Pending",IF(OR(H269="0",H269="1",H269="2",H269="U"),"Complete","Invalid"))</f>
        <v>Complete</v>
      </c>
    </row>
    <row r="270" customFormat="false" ht="84" hidden="false" customHeight="true" outlineLevel="0" collapsed="false">
      <c r="A270" s="8" t="s">
        <v>591</v>
      </c>
      <c r="B270" s="8" t="s">
        <v>27</v>
      </c>
      <c r="C270" s="8" t="s">
        <v>28</v>
      </c>
      <c r="D270" s="8" t="s">
        <v>29</v>
      </c>
      <c r="E270" s="8" t="s">
        <v>195</v>
      </c>
      <c r="F270" s="8" t="s">
        <v>95</v>
      </c>
      <c r="G270" s="8" t="s">
        <v>196</v>
      </c>
      <c r="H270" s="9" t="s">
        <v>132</v>
      </c>
      <c r="I270" s="10"/>
      <c r="J270" s="11" t="n">
        <f aca="false">INT((ROW()-2)/50)+1</f>
        <v>6</v>
      </c>
      <c r="K270" s="11" t="str">
        <f aca="false">IF(H270="","Pending",IF(OR(H270="0",H270="1",H270="2",H270="U"),"Complete","Invalid"))</f>
        <v>Complete</v>
      </c>
    </row>
    <row r="271" customFormat="false" ht="84" hidden="false" customHeight="true" outlineLevel="0" collapsed="false">
      <c r="A271" s="8" t="s">
        <v>592</v>
      </c>
      <c r="B271" s="8" t="s">
        <v>259</v>
      </c>
      <c r="C271" s="8" t="s">
        <v>260</v>
      </c>
      <c r="D271" s="8" t="s">
        <v>261</v>
      </c>
      <c r="E271" s="8" t="s">
        <v>532</v>
      </c>
      <c r="F271" s="8" t="s">
        <v>38</v>
      </c>
      <c r="G271" s="8" t="s">
        <v>533</v>
      </c>
      <c r="H271" s="9" t="s">
        <v>18</v>
      </c>
      <c r="I271" s="10"/>
      <c r="J271" s="11" t="n">
        <f aca="false">INT((ROW()-2)/50)+1</f>
        <v>6</v>
      </c>
      <c r="K271" s="11" t="str">
        <f aca="false">IF(H271="","Pending",IF(OR(H271="0",H271="1",H271="2",H271="U"),"Complete","Invalid"))</f>
        <v>Complete</v>
      </c>
    </row>
    <row r="272" customFormat="false" ht="84" hidden="false" customHeight="true" outlineLevel="0" collapsed="false">
      <c r="A272" s="8" t="s">
        <v>593</v>
      </c>
      <c r="B272" s="8" t="s">
        <v>155</v>
      </c>
      <c r="C272" s="8" t="s">
        <v>156</v>
      </c>
      <c r="D272" s="8" t="s">
        <v>157</v>
      </c>
      <c r="E272" s="8" t="s">
        <v>549</v>
      </c>
      <c r="F272" s="8" t="s">
        <v>31</v>
      </c>
      <c r="G272" s="8" t="s">
        <v>550</v>
      </c>
      <c r="H272" s="9" t="s">
        <v>18</v>
      </c>
      <c r="I272" s="10"/>
      <c r="J272" s="11" t="n">
        <f aca="false">INT((ROW()-2)/50)+1</f>
        <v>6</v>
      </c>
      <c r="K272" s="11" t="str">
        <f aca="false">IF(H272="","Pending",IF(OR(H272="0",H272="1",H272="2",H272="U"),"Complete","Invalid"))</f>
        <v>Complete</v>
      </c>
    </row>
    <row r="273" customFormat="false" ht="84" hidden="false" customHeight="true" outlineLevel="0" collapsed="false">
      <c r="A273" s="8" t="s">
        <v>594</v>
      </c>
      <c r="B273" s="8" t="s">
        <v>171</v>
      </c>
      <c r="C273" s="8" t="s">
        <v>172</v>
      </c>
      <c r="D273" s="8" t="s">
        <v>173</v>
      </c>
      <c r="E273" s="8" t="s">
        <v>539</v>
      </c>
      <c r="F273" s="8" t="s">
        <v>380</v>
      </c>
      <c r="G273" s="8" t="s">
        <v>540</v>
      </c>
      <c r="H273" s="9" t="s">
        <v>18</v>
      </c>
      <c r="I273" s="10"/>
      <c r="J273" s="11" t="n">
        <f aca="false">INT((ROW()-2)/50)+1</f>
        <v>6</v>
      </c>
      <c r="K273" s="11" t="str">
        <f aca="false">IF(H273="","Pending",IF(OR(H273="0",H273="1",H273="2",H273="U"),"Complete","Invalid"))</f>
        <v>Complete</v>
      </c>
    </row>
    <row r="274" customFormat="false" ht="84" hidden="false" customHeight="true" outlineLevel="0" collapsed="false">
      <c r="A274" s="8" t="s">
        <v>595</v>
      </c>
      <c r="B274" s="8" t="s">
        <v>80</v>
      </c>
      <c r="C274" s="8" t="s">
        <v>81</v>
      </c>
      <c r="D274" s="8" t="s">
        <v>82</v>
      </c>
      <c r="E274" s="8" t="s">
        <v>327</v>
      </c>
      <c r="F274" s="8" t="s">
        <v>31</v>
      </c>
      <c r="G274" s="8" t="s">
        <v>328</v>
      </c>
      <c r="H274" s="9" t="s">
        <v>18</v>
      </c>
      <c r="I274" s="10"/>
      <c r="J274" s="11" t="n">
        <f aca="false">INT((ROW()-2)/50)+1</f>
        <v>6</v>
      </c>
      <c r="K274" s="11" t="str">
        <f aca="false">IF(H274="","Pending",IF(OR(H274="0",H274="1",H274="2",H274="U"),"Complete","Invalid"))</f>
        <v>Complete</v>
      </c>
    </row>
    <row r="275" customFormat="false" ht="84" hidden="false" customHeight="true" outlineLevel="0" collapsed="false">
      <c r="A275" s="8" t="s">
        <v>596</v>
      </c>
      <c r="B275" s="8" t="s">
        <v>167</v>
      </c>
      <c r="C275" s="8" t="s">
        <v>168</v>
      </c>
      <c r="D275" s="8" t="s">
        <v>169</v>
      </c>
      <c r="E275" s="8" t="s">
        <v>151</v>
      </c>
      <c r="F275" s="8" t="s">
        <v>88</v>
      </c>
      <c r="G275" s="8" t="s">
        <v>152</v>
      </c>
      <c r="H275" s="9" t="s">
        <v>132</v>
      </c>
      <c r="I275" s="10"/>
      <c r="J275" s="11" t="n">
        <f aca="false">INT((ROW()-2)/50)+1</f>
        <v>6</v>
      </c>
      <c r="K275" s="11" t="str">
        <f aca="false">IF(H275="","Pending",IF(OR(H275="0",H275="1",H275="2",H275="U"),"Complete","Invalid"))</f>
        <v>Complete</v>
      </c>
    </row>
    <row r="276" customFormat="false" ht="84" hidden="false" customHeight="true" outlineLevel="0" collapsed="false">
      <c r="A276" s="8" t="s">
        <v>597</v>
      </c>
      <c r="B276" s="8" t="s">
        <v>223</v>
      </c>
      <c r="C276" s="8" t="s">
        <v>224</v>
      </c>
      <c r="D276" s="8" t="s">
        <v>225</v>
      </c>
      <c r="E276" s="8" t="s">
        <v>319</v>
      </c>
      <c r="F276" s="8" t="s">
        <v>62</v>
      </c>
      <c r="G276" s="8" t="s">
        <v>320</v>
      </c>
      <c r="H276" s="9" t="s">
        <v>18</v>
      </c>
      <c r="I276" s="10"/>
      <c r="J276" s="11" t="n">
        <f aca="false">INT((ROW()-2)/50)+1</f>
        <v>6</v>
      </c>
      <c r="K276" s="11" t="str">
        <f aca="false">IF(H276="","Pending",IF(OR(H276="0",H276="1",H276="2",H276="U"),"Complete","Invalid"))</f>
        <v>Complete</v>
      </c>
    </row>
    <row r="277" customFormat="false" ht="84" hidden="false" customHeight="true" outlineLevel="0" collapsed="false">
      <c r="A277" s="8" t="s">
        <v>598</v>
      </c>
      <c r="B277" s="8" t="s">
        <v>105</v>
      </c>
      <c r="C277" s="8" t="s">
        <v>106</v>
      </c>
      <c r="D277" s="8" t="s">
        <v>107</v>
      </c>
      <c r="E277" s="8" t="s">
        <v>37</v>
      </c>
      <c r="F277" s="8" t="s">
        <v>38</v>
      </c>
      <c r="G277" s="8" t="s">
        <v>39</v>
      </c>
      <c r="H277" s="9" t="s">
        <v>18</v>
      </c>
      <c r="I277" s="10"/>
      <c r="J277" s="11" t="n">
        <f aca="false">INT((ROW()-2)/50)+1</f>
        <v>6</v>
      </c>
      <c r="K277" s="11" t="str">
        <f aca="false">IF(H277="","Pending",IF(OR(H277="0",H277="1",H277="2",H277="U"),"Complete","Invalid"))</f>
        <v>Complete</v>
      </c>
    </row>
    <row r="278" customFormat="false" ht="84" hidden="false" customHeight="true" outlineLevel="0" collapsed="false">
      <c r="A278" s="8" t="s">
        <v>599</v>
      </c>
      <c r="B278" s="8" t="s">
        <v>299</v>
      </c>
      <c r="C278" s="8" t="s">
        <v>300</v>
      </c>
      <c r="D278" s="8" t="s">
        <v>301</v>
      </c>
      <c r="E278" s="8" t="s">
        <v>465</v>
      </c>
      <c r="F278" s="8" t="s">
        <v>31</v>
      </c>
      <c r="G278" s="8" t="s">
        <v>466</v>
      </c>
      <c r="H278" s="9" t="s">
        <v>18</v>
      </c>
      <c r="I278" s="10"/>
      <c r="J278" s="11" t="n">
        <f aca="false">INT((ROW()-2)/50)+1</f>
        <v>6</v>
      </c>
      <c r="K278" s="11" t="str">
        <f aca="false">IF(H278="","Pending",IF(OR(H278="0",H278="1",H278="2",H278="U"),"Complete","Invalid"))</f>
        <v>Complete</v>
      </c>
    </row>
    <row r="279" customFormat="false" ht="84" hidden="false" customHeight="true" outlineLevel="0" collapsed="false">
      <c r="A279" s="8" t="s">
        <v>600</v>
      </c>
      <c r="B279" s="8" t="s">
        <v>58</v>
      </c>
      <c r="C279" s="8" t="s">
        <v>59</v>
      </c>
      <c r="D279" s="8" t="s">
        <v>60</v>
      </c>
      <c r="E279" s="8" t="s">
        <v>390</v>
      </c>
      <c r="F279" s="8" t="s">
        <v>31</v>
      </c>
      <c r="G279" s="8" t="s">
        <v>391</v>
      </c>
      <c r="H279" s="9" t="s">
        <v>18</v>
      </c>
      <c r="I279" s="10"/>
      <c r="J279" s="11" t="n">
        <f aca="false">INT((ROW()-2)/50)+1</f>
        <v>6</v>
      </c>
      <c r="K279" s="11" t="str">
        <f aca="false">IF(H279="","Pending",IF(OR(H279="0",H279="1",H279="2",H279="U"),"Complete","Invalid"))</f>
        <v>Complete</v>
      </c>
    </row>
    <row r="280" customFormat="false" ht="84" hidden="false" customHeight="true" outlineLevel="0" collapsed="false">
      <c r="A280" s="8" t="s">
        <v>601</v>
      </c>
      <c r="B280" s="8" t="s">
        <v>198</v>
      </c>
      <c r="C280" s="8" t="s">
        <v>199</v>
      </c>
      <c r="D280" s="8" t="s">
        <v>200</v>
      </c>
      <c r="E280" s="8" t="s">
        <v>126</v>
      </c>
      <c r="F280" s="8" t="s">
        <v>73</v>
      </c>
      <c r="G280" s="8" t="s">
        <v>127</v>
      </c>
      <c r="H280" s="9" t="s">
        <v>18</v>
      </c>
      <c r="I280" s="10"/>
      <c r="J280" s="11" t="n">
        <f aca="false">INT((ROW()-2)/50)+1</f>
        <v>6</v>
      </c>
      <c r="K280" s="11" t="str">
        <f aca="false">IF(H280="","Pending",IF(OR(H280="0",H280="1",H280="2",H280="U"),"Complete","Invalid"))</f>
        <v>Complete</v>
      </c>
    </row>
    <row r="281" customFormat="false" ht="84" hidden="false" customHeight="true" outlineLevel="0" collapsed="false">
      <c r="A281" s="8" t="s">
        <v>602</v>
      </c>
      <c r="B281" s="8" t="s">
        <v>271</v>
      </c>
      <c r="C281" s="8" t="s">
        <v>272</v>
      </c>
      <c r="D281" s="8" t="s">
        <v>273</v>
      </c>
      <c r="E281" s="8" t="s">
        <v>336</v>
      </c>
      <c r="F281" s="8" t="s">
        <v>55</v>
      </c>
      <c r="G281" s="8" t="s">
        <v>337</v>
      </c>
      <c r="H281" s="9" t="s">
        <v>18</v>
      </c>
      <c r="I281" s="10"/>
      <c r="J281" s="11" t="n">
        <f aca="false">INT((ROW()-2)/50)+1</f>
        <v>6</v>
      </c>
      <c r="K281" s="11" t="str">
        <f aca="false">IF(H281="","Pending",IF(OR(H281="0",H281="1",H281="2",H281="U"),"Complete","Invalid"))</f>
        <v>Complete</v>
      </c>
    </row>
    <row r="282" customFormat="false" ht="84" hidden="false" customHeight="true" outlineLevel="0" collapsed="false">
      <c r="A282" s="8" t="s">
        <v>603</v>
      </c>
      <c r="B282" s="8" t="s">
        <v>209</v>
      </c>
      <c r="C282" s="8" t="s">
        <v>210</v>
      </c>
      <c r="D282" s="8" t="s">
        <v>211</v>
      </c>
      <c r="E282" s="8" t="s">
        <v>179</v>
      </c>
      <c r="F282" s="8" t="s">
        <v>66</v>
      </c>
      <c r="G282" s="8" t="s">
        <v>180</v>
      </c>
      <c r="H282" s="9" t="s">
        <v>114</v>
      </c>
      <c r="I282" s="10"/>
      <c r="J282" s="11" t="n">
        <f aca="false">INT((ROW()-2)/50)+1</f>
        <v>6</v>
      </c>
      <c r="K282" s="11" t="str">
        <f aca="false">IF(H282="","Pending",IF(OR(H282="0",H282="1",H282="2",H282="U"),"Complete","Invalid"))</f>
        <v>Complete</v>
      </c>
    </row>
    <row r="283" customFormat="false" ht="84" hidden="false" customHeight="true" outlineLevel="0" collapsed="false">
      <c r="A283" s="8" t="s">
        <v>604</v>
      </c>
      <c r="B283" s="8" t="s">
        <v>238</v>
      </c>
      <c r="C283" s="8" t="s">
        <v>239</v>
      </c>
      <c r="D283" s="8" t="s">
        <v>240</v>
      </c>
      <c r="E283" s="8" t="s">
        <v>605</v>
      </c>
      <c r="F283" s="8" t="s">
        <v>38</v>
      </c>
      <c r="G283" s="8" t="s">
        <v>606</v>
      </c>
      <c r="H283" s="9" t="s">
        <v>18</v>
      </c>
      <c r="I283" s="10"/>
      <c r="J283" s="11" t="n">
        <f aca="false">INT((ROW()-2)/50)+1</f>
        <v>6</v>
      </c>
      <c r="K283" s="11" t="str">
        <f aca="false">IF(H283="","Pending",IF(OR(H283="0",H283="1",H283="2",H283="U"),"Complete","Invalid"))</f>
        <v>Complete</v>
      </c>
    </row>
    <row r="284" customFormat="false" ht="84" hidden="false" customHeight="true" outlineLevel="0" collapsed="false">
      <c r="A284" s="8" t="s">
        <v>607</v>
      </c>
      <c r="B284" s="8" t="s">
        <v>34</v>
      </c>
      <c r="C284" s="8" t="s">
        <v>35</v>
      </c>
      <c r="D284" s="8" t="s">
        <v>36</v>
      </c>
      <c r="E284" s="8" t="s">
        <v>404</v>
      </c>
      <c r="F284" s="8" t="s">
        <v>66</v>
      </c>
      <c r="G284" s="8" t="s">
        <v>405</v>
      </c>
      <c r="H284" s="9" t="s">
        <v>18</v>
      </c>
      <c r="I284" s="10"/>
      <c r="J284" s="11" t="n">
        <f aca="false">INT((ROW()-2)/50)+1</f>
        <v>6</v>
      </c>
      <c r="K284" s="11" t="str">
        <f aca="false">IF(H284="","Pending",IF(OR(H284="0",H284="1",H284="2",H284="U"),"Complete","Invalid"))</f>
        <v>Complete</v>
      </c>
    </row>
    <row r="285" customFormat="false" ht="84" hidden="false" customHeight="true" outlineLevel="0" collapsed="false">
      <c r="A285" s="8" t="s">
        <v>608</v>
      </c>
      <c r="B285" s="8" t="s">
        <v>58</v>
      </c>
      <c r="C285" s="8" t="s">
        <v>59</v>
      </c>
      <c r="D285" s="8" t="s">
        <v>60</v>
      </c>
      <c r="E285" s="8" t="s">
        <v>186</v>
      </c>
      <c r="F285" s="8" t="s">
        <v>73</v>
      </c>
      <c r="G285" s="8" t="s">
        <v>187</v>
      </c>
      <c r="H285" s="9" t="s">
        <v>18</v>
      </c>
      <c r="I285" s="10"/>
      <c r="J285" s="11" t="n">
        <f aca="false">INT((ROW()-2)/50)+1</f>
        <v>6</v>
      </c>
      <c r="K285" s="11" t="str">
        <f aca="false">IF(H285="","Pending",IF(OR(H285="0",H285="1",H285="2",H285="U"),"Complete","Invalid"))</f>
        <v>Complete</v>
      </c>
    </row>
    <row r="286" customFormat="false" ht="84" hidden="false" customHeight="true" outlineLevel="0" collapsed="false">
      <c r="A286" s="8" t="s">
        <v>609</v>
      </c>
      <c r="B286" s="8" t="s">
        <v>155</v>
      </c>
      <c r="C286" s="8" t="s">
        <v>156</v>
      </c>
      <c r="D286" s="8" t="s">
        <v>157</v>
      </c>
      <c r="E286" s="8" t="s">
        <v>290</v>
      </c>
      <c r="F286" s="8" t="s">
        <v>55</v>
      </c>
      <c r="G286" s="8" t="s">
        <v>291</v>
      </c>
      <c r="H286" s="9" t="s">
        <v>114</v>
      </c>
      <c r="I286" s="10"/>
      <c r="J286" s="11" t="n">
        <f aca="false">INT((ROW()-2)/50)+1</f>
        <v>6</v>
      </c>
      <c r="K286" s="11" t="str">
        <f aca="false">IF(H286="","Pending",IF(OR(H286="0",H286="1",H286="2",H286="U"),"Complete","Invalid"))</f>
        <v>Complete</v>
      </c>
    </row>
    <row r="287" customFormat="false" ht="84" hidden="false" customHeight="true" outlineLevel="0" collapsed="false">
      <c r="A287" s="8" t="s">
        <v>610</v>
      </c>
      <c r="B287" s="8" t="s">
        <v>134</v>
      </c>
      <c r="C287" s="8" t="s">
        <v>135</v>
      </c>
      <c r="D287" s="8" t="s">
        <v>136</v>
      </c>
      <c r="E287" s="8" t="s">
        <v>512</v>
      </c>
      <c r="F287" s="8" t="s">
        <v>66</v>
      </c>
      <c r="G287" s="8" t="s">
        <v>513</v>
      </c>
      <c r="H287" s="9" t="s">
        <v>114</v>
      </c>
      <c r="I287" s="10"/>
      <c r="J287" s="11" t="n">
        <f aca="false">INT((ROW()-2)/50)+1</f>
        <v>6</v>
      </c>
      <c r="K287" s="11" t="str">
        <f aca="false">IF(H287="","Pending",IF(OR(H287="0",H287="1",H287="2",H287="U"),"Complete","Invalid"))</f>
        <v>Complete</v>
      </c>
    </row>
    <row r="288" customFormat="false" ht="84" hidden="false" customHeight="true" outlineLevel="0" collapsed="false">
      <c r="A288" s="8" t="s">
        <v>611</v>
      </c>
      <c r="B288" s="8" t="s">
        <v>91</v>
      </c>
      <c r="C288" s="8" t="s">
        <v>92</v>
      </c>
      <c r="D288" s="8" t="s">
        <v>93</v>
      </c>
      <c r="E288" s="8" t="s">
        <v>126</v>
      </c>
      <c r="F288" s="8" t="s">
        <v>73</v>
      </c>
      <c r="G288" s="8" t="s">
        <v>127</v>
      </c>
      <c r="H288" s="9" t="s">
        <v>18</v>
      </c>
      <c r="I288" s="10"/>
      <c r="J288" s="11" t="n">
        <f aca="false">INT((ROW()-2)/50)+1</f>
        <v>6</v>
      </c>
      <c r="K288" s="11" t="str">
        <f aca="false">IF(H288="","Pending",IF(OR(H288="0",H288="1",H288="2",H288="U"),"Complete","Invalid"))</f>
        <v>Complete</v>
      </c>
    </row>
    <row r="289" customFormat="false" ht="84" hidden="false" customHeight="true" outlineLevel="0" collapsed="false">
      <c r="A289" s="8" t="s">
        <v>612</v>
      </c>
      <c r="B289" s="8" t="s">
        <v>148</v>
      </c>
      <c r="C289" s="8" t="s">
        <v>149</v>
      </c>
      <c r="D289" s="8" t="s">
        <v>150</v>
      </c>
      <c r="E289" s="8" t="s">
        <v>87</v>
      </c>
      <c r="F289" s="8" t="s">
        <v>88</v>
      </c>
      <c r="G289" s="8" t="s">
        <v>89</v>
      </c>
      <c r="H289" s="9" t="s">
        <v>18</v>
      </c>
      <c r="I289" s="10" t="s">
        <v>153</v>
      </c>
      <c r="J289" s="11" t="n">
        <f aca="false">INT((ROW()-2)/50)+1</f>
        <v>6</v>
      </c>
      <c r="K289" s="11" t="str">
        <f aca="false">IF(H289="","Pending",IF(OR(H289="0",H289="1",H289="2",H289="U"),"Complete","Invalid"))</f>
        <v>Complete</v>
      </c>
    </row>
    <row r="290" customFormat="false" ht="84" hidden="false" customHeight="true" outlineLevel="0" collapsed="false">
      <c r="A290" s="8" t="s">
        <v>613</v>
      </c>
      <c r="B290" s="8" t="s">
        <v>189</v>
      </c>
      <c r="C290" s="8" t="s">
        <v>190</v>
      </c>
      <c r="D290" s="8" t="s">
        <v>191</v>
      </c>
      <c r="E290" s="8" t="s">
        <v>48</v>
      </c>
      <c r="F290" s="8" t="s">
        <v>24</v>
      </c>
      <c r="G290" s="8" t="s">
        <v>49</v>
      </c>
      <c r="H290" s="9" t="s">
        <v>132</v>
      </c>
      <c r="I290" s="10"/>
      <c r="J290" s="11" t="n">
        <f aca="false">INT((ROW()-2)/50)+1</f>
        <v>6</v>
      </c>
      <c r="K290" s="11" t="str">
        <f aca="false">IF(H290="","Pending",IF(OR(H290="0",H290="1",H290="2",H290="U"),"Complete","Invalid"))</f>
        <v>Complete</v>
      </c>
    </row>
    <row r="291" customFormat="false" ht="84" hidden="false" customHeight="true" outlineLevel="0" collapsed="false">
      <c r="A291" s="8" t="s">
        <v>614</v>
      </c>
      <c r="B291" s="8" t="s">
        <v>232</v>
      </c>
      <c r="C291" s="8" t="s">
        <v>233</v>
      </c>
      <c r="D291" s="8" t="s">
        <v>234</v>
      </c>
      <c r="E291" s="8" t="s">
        <v>319</v>
      </c>
      <c r="F291" s="8" t="s">
        <v>62</v>
      </c>
      <c r="G291" s="8" t="s">
        <v>320</v>
      </c>
      <c r="H291" s="9" t="s">
        <v>18</v>
      </c>
      <c r="I291" s="10"/>
      <c r="J291" s="11" t="n">
        <f aca="false">INT((ROW()-2)/50)+1</f>
        <v>6</v>
      </c>
      <c r="K291" s="11" t="str">
        <f aca="false">IF(H291="","Pending",IF(OR(H291="0",H291="1",H291="2",H291="U"),"Complete","Invalid"))</f>
        <v>Complete</v>
      </c>
    </row>
    <row r="292" customFormat="false" ht="84" hidden="false" customHeight="true" outlineLevel="0" collapsed="false">
      <c r="A292" s="8" t="s">
        <v>615</v>
      </c>
      <c r="B292" s="8" t="s">
        <v>259</v>
      </c>
      <c r="C292" s="8" t="s">
        <v>260</v>
      </c>
      <c r="D292" s="8" t="s">
        <v>261</v>
      </c>
      <c r="E292" s="8" t="s">
        <v>583</v>
      </c>
      <c r="F292" s="8" t="s">
        <v>38</v>
      </c>
      <c r="G292" s="8" t="s">
        <v>584</v>
      </c>
      <c r="H292" s="9" t="s">
        <v>18</v>
      </c>
      <c r="I292" s="10"/>
      <c r="J292" s="11" t="n">
        <f aca="false">INT((ROW()-2)/50)+1</f>
        <v>6</v>
      </c>
      <c r="K292" s="11" t="str">
        <f aca="false">IF(H292="","Pending",IF(OR(H292="0",H292="1",H292="2",H292="U"),"Complete","Invalid"))</f>
        <v>Complete</v>
      </c>
    </row>
    <row r="293" customFormat="false" ht="84" hidden="false" customHeight="true" outlineLevel="0" collapsed="false">
      <c r="A293" s="8" t="s">
        <v>616</v>
      </c>
      <c r="B293" s="8" t="s">
        <v>20</v>
      </c>
      <c r="C293" s="8" t="s">
        <v>21</v>
      </c>
      <c r="D293" s="8" t="s">
        <v>22</v>
      </c>
      <c r="E293" s="8" t="s">
        <v>262</v>
      </c>
      <c r="F293" s="8" t="s">
        <v>263</v>
      </c>
      <c r="G293" s="8" t="s">
        <v>264</v>
      </c>
      <c r="H293" s="9" t="s">
        <v>132</v>
      </c>
      <c r="I293" s="10"/>
      <c r="J293" s="11" t="n">
        <f aca="false">INT((ROW()-2)/50)+1</f>
        <v>6</v>
      </c>
      <c r="K293" s="11" t="str">
        <f aca="false">IF(H293="","Pending",IF(OR(H293="0",H293="1",H293="2",H293="U"),"Complete","Invalid"))</f>
        <v>Complete</v>
      </c>
    </row>
    <row r="294" customFormat="false" ht="84" hidden="false" customHeight="true" outlineLevel="0" collapsed="false">
      <c r="A294" s="8" t="s">
        <v>617</v>
      </c>
      <c r="B294" s="8" t="s">
        <v>41</v>
      </c>
      <c r="C294" s="8" t="s">
        <v>42</v>
      </c>
      <c r="D294" s="8" t="s">
        <v>43</v>
      </c>
      <c r="E294" s="8" t="s">
        <v>174</v>
      </c>
      <c r="F294" s="8" t="s">
        <v>16</v>
      </c>
      <c r="G294" s="8" t="s">
        <v>175</v>
      </c>
      <c r="H294" s="9" t="s">
        <v>18</v>
      </c>
      <c r="I294" s="10"/>
      <c r="J294" s="11" t="n">
        <f aca="false">INT((ROW()-2)/50)+1</f>
        <v>6</v>
      </c>
      <c r="K294" s="11" t="str">
        <f aca="false">IF(H294="","Pending",IF(OR(H294="0",H294="1",H294="2",H294="U"),"Complete","Invalid"))</f>
        <v>Complete</v>
      </c>
    </row>
    <row r="295" customFormat="false" ht="84" hidden="false" customHeight="true" outlineLevel="0" collapsed="false">
      <c r="A295" s="8" t="s">
        <v>618</v>
      </c>
      <c r="B295" s="8" t="s">
        <v>198</v>
      </c>
      <c r="C295" s="8" t="s">
        <v>199</v>
      </c>
      <c r="D295" s="8" t="s">
        <v>200</v>
      </c>
      <c r="E295" s="8" t="s">
        <v>182</v>
      </c>
      <c r="F295" s="8" t="s">
        <v>66</v>
      </c>
      <c r="G295" s="8" t="s">
        <v>183</v>
      </c>
      <c r="H295" s="9" t="s">
        <v>18</v>
      </c>
      <c r="I295" s="10"/>
      <c r="J295" s="11" t="n">
        <f aca="false">INT((ROW()-2)/50)+1</f>
        <v>6</v>
      </c>
      <c r="K295" s="11" t="str">
        <f aca="false">IF(H295="","Pending",IF(OR(H295="0",H295="1",H295="2",H295="U"),"Complete","Invalid"))</f>
        <v>Complete</v>
      </c>
    </row>
    <row r="296" customFormat="false" ht="84" hidden="false" customHeight="true" outlineLevel="0" collapsed="false">
      <c r="A296" s="8" t="s">
        <v>619</v>
      </c>
      <c r="B296" s="8" t="s">
        <v>105</v>
      </c>
      <c r="C296" s="8" t="s">
        <v>106</v>
      </c>
      <c r="D296" s="8" t="s">
        <v>107</v>
      </c>
      <c r="E296" s="8" t="s">
        <v>94</v>
      </c>
      <c r="F296" s="8" t="s">
        <v>95</v>
      </c>
      <c r="G296" s="8" t="s">
        <v>96</v>
      </c>
      <c r="H296" s="9" t="s">
        <v>18</v>
      </c>
      <c r="I296" s="10"/>
      <c r="J296" s="11" t="n">
        <f aca="false">INT((ROW()-2)/50)+1</f>
        <v>6</v>
      </c>
      <c r="K296" s="11" t="str">
        <f aca="false">IF(H296="","Pending",IF(OR(H296="0",H296="1",H296="2",H296="U"),"Complete","Invalid"))</f>
        <v>Complete</v>
      </c>
    </row>
    <row r="297" customFormat="false" ht="84" hidden="false" customHeight="true" outlineLevel="0" collapsed="false">
      <c r="A297" s="8" t="s">
        <v>620</v>
      </c>
      <c r="B297" s="8" t="s">
        <v>34</v>
      </c>
      <c r="C297" s="8" t="s">
        <v>35</v>
      </c>
      <c r="D297" s="8" t="s">
        <v>36</v>
      </c>
      <c r="E297" s="8" t="s">
        <v>48</v>
      </c>
      <c r="F297" s="8" t="s">
        <v>24</v>
      </c>
      <c r="G297" s="8" t="s">
        <v>49</v>
      </c>
      <c r="H297" s="9" t="s">
        <v>18</v>
      </c>
      <c r="I297" s="10"/>
      <c r="J297" s="11" t="n">
        <f aca="false">INT((ROW()-2)/50)+1</f>
        <v>6</v>
      </c>
      <c r="K297" s="11" t="str">
        <f aca="false">IF(H297="","Pending",IF(OR(H297="0",H297="1",H297="2",H297="U"),"Complete","Invalid"))</f>
        <v>Complete</v>
      </c>
    </row>
    <row r="298" customFormat="false" ht="84" hidden="false" customHeight="true" outlineLevel="0" collapsed="false">
      <c r="A298" s="8" t="s">
        <v>621</v>
      </c>
      <c r="B298" s="8" t="s">
        <v>232</v>
      </c>
      <c r="C298" s="8" t="s">
        <v>233</v>
      </c>
      <c r="D298" s="8" t="s">
        <v>234</v>
      </c>
      <c r="E298" s="8" t="s">
        <v>622</v>
      </c>
      <c r="F298" s="8" t="s">
        <v>95</v>
      </c>
      <c r="G298" s="8" t="s">
        <v>623</v>
      </c>
      <c r="H298" s="9" t="s">
        <v>18</v>
      </c>
      <c r="I298" s="10"/>
      <c r="J298" s="11" t="n">
        <f aca="false">INT((ROW()-2)/50)+1</f>
        <v>6</v>
      </c>
      <c r="K298" s="11" t="str">
        <f aca="false">IF(H298="","Pending",IF(OR(H298="0",H298="1",H298="2",H298="U"),"Complete","Invalid"))</f>
        <v>Complete</v>
      </c>
    </row>
    <row r="299" customFormat="false" ht="84" hidden="false" customHeight="true" outlineLevel="0" collapsed="false">
      <c r="A299" s="8" t="s">
        <v>624</v>
      </c>
      <c r="B299" s="8" t="s">
        <v>312</v>
      </c>
      <c r="C299" s="8" t="s">
        <v>313</v>
      </c>
      <c r="D299" s="8" t="s">
        <v>314</v>
      </c>
      <c r="E299" s="8" t="s">
        <v>158</v>
      </c>
      <c r="F299" s="8" t="s">
        <v>38</v>
      </c>
      <c r="G299" s="8" t="s">
        <v>159</v>
      </c>
      <c r="H299" s="9" t="s">
        <v>114</v>
      </c>
      <c r="I299" s="10"/>
      <c r="J299" s="11" t="n">
        <f aca="false">INT((ROW()-2)/50)+1</f>
        <v>6</v>
      </c>
      <c r="K299" s="11" t="str">
        <f aca="false">IF(H299="","Pending",IF(OR(H299="0",H299="1",H299="2",H299="U"),"Complete","Invalid"))</f>
        <v>Complete</v>
      </c>
    </row>
    <row r="300" customFormat="false" ht="84" hidden="false" customHeight="true" outlineLevel="0" collapsed="false">
      <c r="A300" s="8" t="s">
        <v>625</v>
      </c>
      <c r="B300" s="8" t="s">
        <v>259</v>
      </c>
      <c r="C300" s="8" t="s">
        <v>260</v>
      </c>
      <c r="D300" s="8" t="s">
        <v>261</v>
      </c>
      <c r="E300" s="8" t="s">
        <v>319</v>
      </c>
      <c r="F300" s="8" t="s">
        <v>62</v>
      </c>
      <c r="G300" s="8" t="s">
        <v>320</v>
      </c>
      <c r="H300" s="9" t="s">
        <v>18</v>
      </c>
      <c r="I300" s="10"/>
      <c r="J300" s="11" t="n">
        <f aca="false">INT((ROW()-2)/50)+1</f>
        <v>6</v>
      </c>
      <c r="K300" s="11" t="str">
        <f aca="false">IF(H300="","Pending",IF(OR(H300="0",H300="1",H300="2",H300="U"),"Complete","Invalid"))</f>
        <v>Complete</v>
      </c>
    </row>
    <row r="301" customFormat="false" ht="84" hidden="false" customHeight="true" outlineLevel="0" collapsed="false">
      <c r="A301" s="8" t="s">
        <v>626</v>
      </c>
      <c r="B301" s="8" t="s">
        <v>223</v>
      </c>
      <c r="C301" s="8" t="s">
        <v>224</v>
      </c>
      <c r="D301" s="8" t="s">
        <v>225</v>
      </c>
      <c r="E301" s="8" t="s">
        <v>83</v>
      </c>
      <c r="F301" s="8" t="s">
        <v>84</v>
      </c>
      <c r="G301" s="8" t="s">
        <v>85</v>
      </c>
      <c r="H301" s="9" t="s">
        <v>18</v>
      </c>
      <c r="I301" s="10"/>
      <c r="J301" s="11" t="n">
        <f aca="false">INT((ROW()-2)/50)+1</f>
        <v>6</v>
      </c>
      <c r="K301" s="11" t="str">
        <f aca="false">IF(H301="","Pending",IF(OR(H301="0",H301="1",H301="2",H301="U"),"Complete","Invalid"))</f>
        <v>Complete</v>
      </c>
    </row>
    <row r="302" customFormat="false" ht="84" hidden="false" customHeight="true" outlineLevel="0" collapsed="false">
      <c r="A302" s="8" t="s">
        <v>627</v>
      </c>
      <c r="B302" s="8" t="s">
        <v>232</v>
      </c>
      <c r="C302" s="8" t="s">
        <v>233</v>
      </c>
      <c r="D302" s="8" t="s">
        <v>234</v>
      </c>
      <c r="E302" s="8" t="s">
        <v>559</v>
      </c>
      <c r="F302" s="8" t="s">
        <v>202</v>
      </c>
      <c r="G302" s="8" t="s">
        <v>560</v>
      </c>
      <c r="H302" s="9" t="s">
        <v>18</v>
      </c>
      <c r="I302" s="10"/>
      <c r="J302" s="11" t="n">
        <f aca="false">INT((ROW()-2)/50)+1</f>
        <v>7</v>
      </c>
      <c r="K302" s="11" t="str">
        <f aca="false">IF(H302="","Pending",IF(OR(H302="0",H302="1",H302="2",H302="U"),"Complete","Invalid"))</f>
        <v>Complete</v>
      </c>
    </row>
    <row r="303" customFormat="false" ht="84" hidden="false" customHeight="true" outlineLevel="0" collapsed="false">
      <c r="A303" s="8" t="s">
        <v>628</v>
      </c>
      <c r="B303" s="8" t="s">
        <v>248</v>
      </c>
      <c r="C303" s="8" t="s">
        <v>249</v>
      </c>
      <c r="D303" s="8" t="s">
        <v>250</v>
      </c>
      <c r="E303" s="8" t="s">
        <v>629</v>
      </c>
      <c r="F303" s="8" t="s">
        <v>31</v>
      </c>
      <c r="G303" s="8" t="s">
        <v>630</v>
      </c>
      <c r="H303" s="9" t="s">
        <v>18</v>
      </c>
      <c r="I303" s="10"/>
      <c r="J303" s="11" t="n">
        <f aca="false">INT((ROW()-2)/50)+1</f>
        <v>7</v>
      </c>
      <c r="K303" s="11" t="str">
        <f aca="false">IF(H303="","Pending",IF(OR(H303="0",H303="1",H303="2",H303="U"),"Complete","Invalid"))</f>
        <v>Complete</v>
      </c>
    </row>
    <row r="304" customFormat="false" ht="84" hidden="false" customHeight="true" outlineLevel="0" collapsed="false">
      <c r="A304" s="8" t="s">
        <v>631</v>
      </c>
      <c r="B304" s="8" t="s">
        <v>271</v>
      </c>
      <c r="C304" s="8" t="s">
        <v>272</v>
      </c>
      <c r="D304" s="8" t="s">
        <v>273</v>
      </c>
      <c r="E304" s="8" t="s">
        <v>536</v>
      </c>
      <c r="F304" s="8" t="s">
        <v>109</v>
      </c>
      <c r="G304" s="8" t="s">
        <v>537</v>
      </c>
      <c r="H304" s="9" t="s">
        <v>18</v>
      </c>
      <c r="I304" s="10"/>
      <c r="J304" s="11" t="n">
        <f aca="false">INT((ROW()-2)/50)+1</f>
        <v>7</v>
      </c>
      <c r="K304" s="11" t="str">
        <f aca="false">IF(H304="","Pending",IF(OR(H304="0",H304="1",H304="2",H304="U"),"Complete","Invalid"))</f>
        <v>Complete</v>
      </c>
    </row>
    <row r="305" customFormat="false" ht="84" hidden="false" customHeight="true" outlineLevel="0" collapsed="false">
      <c r="A305" s="8" t="s">
        <v>632</v>
      </c>
      <c r="B305" s="8" t="s">
        <v>238</v>
      </c>
      <c r="C305" s="8" t="s">
        <v>239</v>
      </c>
      <c r="D305" s="8" t="s">
        <v>240</v>
      </c>
      <c r="E305" s="8" t="s">
        <v>319</v>
      </c>
      <c r="F305" s="8" t="s">
        <v>62</v>
      </c>
      <c r="G305" s="8" t="s">
        <v>320</v>
      </c>
      <c r="H305" s="9" t="s">
        <v>18</v>
      </c>
      <c r="I305" s="10"/>
      <c r="J305" s="11" t="n">
        <f aca="false">INT((ROW()-2)/50)+1</f>
        <v>7</v>
      </c>
      <c r="K305" s="11" t="str">
        <f aca="false">IF(H305="","Pending",IF(OR(H305="0",H305="1",H305="2",H305="U"),"Complete","Invalid"))</f>
        <v>Complete</v>
      </c>
    </row>
    <row r="306" customFormat="false" ht="84" hidden="false" customHeight="true" outlineLevel="0" collapsed="false">
      <c r="A306" s="8" t="s">
        <v>633</v>
      </c>
      <c r="B306" s="8" t="s">
        <v>98</v>
      </c>
      <c r="C306" s="8" t="s">
        <v>99</v>
      </c>
      <c r="D306" s="8" t="s">
        <v>100</v>
      </c>
      <c r="E306" s="8" t="s">
        <v>72</v>
      </c>
      <c r="F306" s="8" t="s">
        <v>73</v>
      </c>
      <c r="G306" s="8" t="s">
        <v>74</v>
      </c>
      <c r="H306" s="9" t="s">
        <v>18</v>
      </c>
      <c r="I306" s="10"/>
      <c r="J306" s="11" t="n">
        <f aca="false">INT((ROW()-2)/50)+1</f>
        <v>7</v>
      </c>
      <c r="K306" s="11" t="str">
        <f aca="false">IF(H306="","Pending",IF(OR(H306="0",H306="1",H306="2",H306="U"),"Complete","Invalid"))</f>
        <v>Complete</v>
      </c>
    </row>
    <row r="307" customFormat="false" ht="84" hidden="false" customHeight="true" outlineLevel="0" collapsed="false">
      <c r="A307" s="8" t="s">
        <v>634</v>
      </c>
      <c r="B307" s="8" t="s">
        <v>80</v>
      </c>
      <c r="C307" s="8" t="s">
        <v>81</v>
      </c>
      <c r="D307" s="8" t="s">
        <v>82</v>
      </c>
      <c r="E307" s="8" t="s">
        <v>201</v>
      </c>
      <c r="F307" s="8" t="s">
        <v>202</v>
      </c>
      <c r="G307" s="8" t="s">
        <v>203</v>
      </c>
      <c r="H307" s="9" t="s">
        <v>18</v>
      </c>
      <c r="I307" s="10"/>
      <c r="J307" s="11" t="n">
        <f aca="false">INT((ROW()-2)/50)+1</f>
        <v>7</v>
      </c>
      <c r="K307" s="11" t="str">
        <f aca="false">IF(H307="","Pending",IF(OR(H307="0",H307="1",H307="2",H307="U"),"Complete","Invalid"))</f>
        <v>Complete</v>
      </c>
    </row>
    <row r="308" customFormat="false" ht="84" hidden="false" customHeight="true" outlineLevel="0" collapsed="false">
      <c r="A308" s="8" t="s">
        <v>635</v>
      </c>
      <c r="B308" s="8" t="s">
        <v>219</v>
      </c>
      <c r="C308" s="8" t="s">
        <v>220</v>
      </c>
      <c r="D308" s="8" t="s">
        <v>221</v>
      </c>
      <c r="E308" s="8" t="s">
        <v>126</v>
      </c>
      <c r="F308" s="8" t="s">
        <v>73</v>
      </c>
      <c r="G308" s="8" t="s">
        <v>127</v>
      </c>
      <c r="H308" s="9" t="s">
        <v>18</v>
      </c>
      <c r="I308" s="10"/>
      <c r="J308" s="11" t="n">
        <f aca="false">INT((ROW()-2)/50)+1</f>
        <v>7</v>
      </c>
      <c r="K308" s="11" t="str">
        <f aca="false">IF(H308="","Pending",IF(OR(H308="0",H308="1",H308="2",H308="U"),"Complete","Invalid"))</f>
        <v>Complete</v>
      </c>
    </row>
    <row r="309" customFormat="false" ht="84" hidden="false" customHeight="true" outlineLevel="0" collapsed="false">
      <c r="A309" s="8" t="s">
        <v>636</v>
      </c>
      <c r="B309" s="8" t="s">
        <v>123</v>
      </c>
      <c r="C309" s="8" t="s">
        <v>124</v>
      </c>
      <c r="D309" s="8" t="s">
        <v>125</v>
      </c>
      <c r="E309" s="8" t="s">
        <v>637</v>
      </c>
      <c r="F309" s="8" t="s">
        <v>138</v>
      </c>
      <c r="G309" s="8" t="s">
        <v>638</v>
      </c>
      <c r="H309" s="9" t="s">
        <v>132</v>
      </c>
      <c r="I309" s="10"/>
      <c r="J309" s="11" t="n">
        <f aca="false">INT((ROW()-2)/50)+1</f>
        <v>7</v>
      </c>
      <c r="K309" s="11" t="str">
        <f aca="false">IF(H309="","Pending",IF(OR(H309="0",H309="1",H309="2",H309="U"),"Complete","Invalid"))</f>
        <v>Complete</v>
      </c>
    </row>
    <row r="310" customFormat="false" ht="84" hidden="false" customHeight="true" outlineLevel="0" collapsed="false">
      <c r="A310" s="8" t="s">
        <v>639</v>
      </c>
      <c r="B310" s="8" t="s">
        <v>232</v>
      </c>
      <c r="C310" s="8" t="s">
        <v>233</v>
      </c>
      <c r="D310" s="8" t="s">
        <v>234</v>
      </c>
      <c r="E310" s="8" t="s">
        <v>72</v>
      </c>
      <c r="F310" s="8" t="s">
        <v>73</v>
      </c>
      <c r="G310" s="8" t="s">
        <v>74</v>
      </c>
      <c r="H310" s="9" t="s">
        <v>132</v>
      </c>
      <c r="I310" s="10"/>
      <c r="J310" s="11" t="n">
        <f aca="false">INT((ROW()-2)/50)+1</f>
        <v>7</v>
      </c>
      <c r="K310" s="11" t="str">
        <f aca="false">IF(H310="","Pending",IF(OR(H310="0",H310="1",H310="2",H310="U"),"Complete","Invalid"))</f>
        <v>Complete</v>
      </c>
    </row>
    <row r="311" customFormat="false" ht="84" hidden="false" customHeight="true" outlineLevel="0" collapsed="false">
      <c r="A311" s="8" t="s">
        <v>640</v>
      </c>
      <c r="B311" s="8" t="s">
        <v>148</v>
      </c>
      <c r="C311" s="8" t="s">
        <v>149</v>
      </c>
      <c r="D311" s="8" t="s">
        <v>150</v>
      </c>
      <c r="E311" s="8" t="s">
        <v>112</v>
      </c>
      <c r="F311" s="8" t="s">
        <v>88</v>
      </c>
      <c r="G311" s="8" t="s">
        <v>113</v>
      </c>
      <c r="H311" s="9" t="s">
        <v>18</v>
      </c>
      <c r="I311" s="10" t="s">
        <v>153</v>
      </c>
      <c r="J311" s="11" t="n">
        <f aca="false">INT((ROW()-2)/50)+1</f>
        <v>7</v>
      </c>
      <c r="K311" s="11" t="str">
        <f aca="false">IF(H311="","Pending",IF(OR(H311="0",H311="1",H311="2",H311="U"),"Complete","Invalid"))</f>
        <v>Complete</v>
      </c>
    </row>
    <row r="312" customFormat="false" ht="84" hidden="false" customHeight="true" outlineLevel="0" collapsed="false">
      <c r="A312" s="8" t="s">
        <v>641</v>
      </c>
      <c r="B312" s="8" t="s">
        <v>123</v>
      </c>
      <c r="C312" s="8" t="s">
        <v>124</v>
      </c>
      <c r="D312" s="8" t="s">
        <v>125</v>
      </c>
      <c r="E312" s="8" t="s">
        <v>252</v>
      </c>
      <c r="F312" s="8" t="s">
        <v>138</v>
      </c>
      <c r="G312" s="8" t="s">
        <v>253</v>
      </c>
      <c r="H312" s="9" t="s">
        <v>132</v>
      </c>
      <c r="I312" s="10"/>
      <c r="J312" s="11" t="n">
        <f aca="false">INT((ROW()-2)/50)+1</f>
        <v>7</v>
      </c>
      <c r="K312" s="11" t="str">
        <f aca="false">IF(H312="","Pending",IF(OR(H312="0",H312="1",H312="2",H312="U"),"Complete","Invalid"))</f>
        <v>Complete</v>
      </c>
    </row>
    <row r="313" customFormat="false" ht="84" hidden="false" customHeight="true" outlineLevel="0" collapsed="false">
      <c r="A313" s="8" t="s">
        <v>642</v>
      </c>
      <c r="B313" s="8" t="s">
        <v>341</v>
      </c>
      <c r="C313" s="8" t="s">
        <v>342</v>
      </c>
      <c r="D313" s="8" t="s">
        <v>343</v>
      </c>
      <c r="E313" s="8" t="s">
        <v>383</v>
      </c>
      <c r="F313" s="8" t="s">
        <v>380</v>
      </c>
      <c r="G313" s="8" t="s">
        <v>384</v>
      </c>
      <c r="H313" s="9" t="s">
        <v>18</v>
      </c>
      <c r="I313" s="10" t="s">
        <v>346</v>
      </c>
      <c r="J313" s="11" t="n">
        <f aca="false">INT((ROW()-2)/50)+1</f>
        <v>7</v>
      </c>
      <c r="K313" s="11" t="str">
        <f aca="false">IF(H313="","Pending",IF(OR(H313="0",H313="1",H313="2",H313="U"),"Complete","Invalid"))</f>
        <v>Complete</v>
      </c>
    </row>
    <row r="314" customFormat="false" ht="84" hidden="false" customHeight="true" outlineLevel="0" collapsed="false">
      <c r="A314" s="8" t="s">
        <v>643</v>
      </c>
      <c r="B314" s="8" t="s">
        <v>248</v>
      </c>
      <c r="C314" s="8" t="s">
        <v>249</v>
      </c>
      <c r="D314" s="8" t="s">
        <v>250</v>
      </c>
      <c r="E314" s="8" t="s">
        <v>126</v>
      </c>
      <c r="F314" s="8" t="s">
        <v>73</v>
      </c>
      <c r="G314" s="8" t="s">
        <v>127</v>
      </c>
      <c r="H314" s="9" t="s">
        <v>18</v>
      </c>
      <c r="I314" s="10"/>
      <c r="J314" s="11" t="n">
        <f aca="false">INT((ROW()-2)/50)+1</f>
        <v>7</v>
      </c>
      <c r="K314" s="11" t="str">
        <f aca="false">IF(H314="","Pending",IF(OR(H314="0",H314="1",H314="2",H314="U"),"Complete","Invalid"))</f>
        <v>Complete</v>
      </c>
    </row>
    <row r="315" customFormat="false" ht="84" hidden="false" customHeight="true" outlineLevel="0" collapsed="false">
      <c r="A315" s="8" t="s">
        <v>644</v>
      </c>
      <c r="B315" s="8" t="s">
        <v>238</v>
      </c>
      <c r="C315" s="8" t="s">
        <v>239</v>
      </c>
      <c r="D315" s="8" t="s">
        <v>240</v>
      </c>
      <c r="E315" s="8" t="s">
        <v>475</v>
      </c>
      <c r="F315" s="8" t="s">
        <v>142</v>
      </c>
      <c r="G315" s="8" t="s">
        <v>476</v>
      </c>
      <c r="H315" s="9" t="s">
        <v>18</v>
      </c>
      <c r="I315" s="10"/>
      <c r="J315" s="11" t="n">
        <f aca="false">INT((ROW()-2)/50)+1</f>
        <v>7</v>
      </c>
      <c r="K315" s="11" t="str">
        <f aca="false">IF(H315="","Pending",IF(OR(H315="0",H315="1",H315="2",H315="U"),"Complete","Invalid"))</f>
        <v>Complete</v>
      </c>
    </row>
    <row r="316" customFormat="false" ht="84" hidden="false" customHeight="true" outlineLevel="0" collapsed="false">
      <c r="A316" s="8" t="s">
        <v>645</v>
      </c>
      <c r="B316" s="8" t="s">
        <v>232</v>
      </c>
      <c r="C316" s="8" t="s">
        <v>233</v>
      </c>
      <c r="D316" s="8" t="s">
        <v>234</v>
      </c>
      <c r="E316" s="8" t="s">
        <v>65</v>
      </c>
      <c r="F316" s="8" t="s">
        <v>66</v>
      </c>
      <c r="G316" s="8" t="s">
        <v>67</v>
      </c>
      <c r="H316" s="9" t="s">
        <v>18</v>
      </c>
      <c r="I316" s="10"/>
      <c r="J316" s="11" t="n">
        <f aca="false">INT((ROW()-2)/50)+1</f>
        <v>7</v>
      </c>
      <c r="K316" s="11" t="str">
        <f aca="false">IF(H316="","Pending",IF(OR(H316="0",H316="1",H316="2",H316="U"),"Complete","Invalid"))</f>
        <v>Complete</v>
      </c>
    </row>
    <row r="317" customFormat="false" ht="84" hidden="false" customHeight="true" outlineLevel="0" collapsed="false">
      <c r="A317" s="8" t="s">
        <v>646</v>
      </c>
      <c r="B317" s="8" t="s">
        <v>76</v>
      </c>
      <c r="C317" s="8" t="s">
        <v>77</v>
      </c>
      <c r="D317" s="8" t="s">
        <v>78</v>
      </c>
      <c r="E317" s="8" t="s">
        <v>290</v>
      </c>
      <c r="F317" s="8" t="s">
        <v>55</v>
      </c>
      <c r="G317" s="8" t="s">
        <v>291</v>
      </c>
      <c r="H317" s="9" t="s">
        <v>18</v>
      </c>
      <c r="I317" s="10"/>
      <c r="J317" s="11" t="n">
        <f aca="false">INT((ROW()-2)/50)+1</f>
        <v>7</v>
      </c>
      <c r="K317" s="11" t="str">
        <f aca="false">IF(H317="","Pending",IF(OR(H317="0",H317="1",H317="2",H317="U"),"Complete","Invalid"))</f>
        <v>Complete</v>
      </c>
    </row>
    <row r="318" customFormat="false" ht="84" hidden="false" customHeight="true" outlineLevel="0" collapsed="false">
      <c r="A318" s="8" t="s">
        <v>647</v>
      </c>
      <c r="B318" s="8" t="s">
        <v>27</v>
      </c>
      <c r="C318" s="8" t="s">
        <v>28</v>
      </c>
      <c r="D318" s="8" t="s">
        <v>29</v>
      </c>
      <c r="E318" s="8" t="s">
        <v>164</v>
      </c>
      <c r="F318" s="8" t="s">
        <v>73</v>
      </c>
      <c r="G318" s="8" t="s">
        <v>165</v>
      </c>
      <c r="H318" s="9" t="s">
        <v>18</v>
      </c>
      <c r="I318" s="10"/>
      <c r="J318" s="11" t="n">
        <f aca="false">INT((ROW()-2)/50)+1</f>
        <v>7</v>
      </c>
      <c r="K318" s="11" t="str">
        <f aca="false">IF(H318="","Pending",IF(OR(H318="0",H318="1",H318="2",H318="U"),"Complete","Invalid"))</f>
        <v>Complete</v>
      </c>
    </row>
    <row r="319" customFormat="false" ht="84" hidden="false" customHeight="true" outlineLevel="0" collapsed="false">
      <c r="A319" s="8" t="s">
        <v>648</v>
      </c>
      <c r="B319" s="8" t="s">
        <v>219</v>
      </c>
      <c r="C319" s="8" t="s">
        <v>220</v>
      </c>
      <c r="D319" s="8" t="s">
        <v>221</v>
      </c>
      <c r="E319" s="8" t="s">
        <v>372</v>
      </c>
      <c r="F319" s="8" t="s">
        <v>55</v>
      </c>
      <c r="G319" s="8" t="s">
        <v>373</v>
      </c>
      <c r="H319" s="9" t="s">
        <v>18</v>
      </c>
      <c r="I319" s="10"/>
      <c r="J319" s="11" t="n">
        <f aca="false">INT((ROW()-2)/50)+1</f>
        <v>7</v>
      </c>
      <c r="K319" s="11" t="str">
        <f aca="false">IF(H319="","Pending",IF(OR(H319="0",H319="1",H319="2",H319="U"),"Complete","Invalid"))</f>
        <v>Complete</v>
      </c>
    </row>
    <row r="320" customFormat="false" ht="84" hidden="false" customHeight="true" outlineLevel="0" collapsed="false">
      <c r="A320" s="8" t="s">
        <v>649</v>
      </c>
      <c r="B320" s="8" t="s">
        <v>27</v>
      </c>
      <c r="C320" s="8" t="s">
        <v>28</v>
      </c>
      <c r="D320" s="8" t="s">
        <v>29</v>
      </c>
      <c r="E320" s="8" t="s">
        <v>471</v>
      </c>
      <c r="F320" s="8" t="s">
        <v>38</v>
      </c>
      <c r="G320" s="8" t="s">
        <v>472</v>
      </c>
      <c r="H320" s="9" t="s">
        <v>18</v>
      </c>
      <c r="I320" s="10"/>
      <c r="J320" s="11" t="n">
        <f aca="false">INT((ROW()-2)/50)+1</f>
        <v>7</v>
      </c>
      <c r="K320" s="11" t="str">
        <f aca="false">IF(H320="","Pending",IF(OR(H320="0",H320="1",H320="2",H320="U"),"Complete","Invalid"))</f>
        <v>Complete</v>
      </c>
    </row>
    <row r="321" customFormat="false" ht="84" hidden="false" customHeight="true" outlineLevel="0" collapsed="false">
      <c r="A321" s="8" t="s">
        <v>650</v>
      </c>
      <c r="B321" s="8" t="s">
        <v>80</v>
      </c>
      <c r="C321" s="8" t="s">
        <v>81</v>
      </c>
      <c r="D321" s="8" t="s">
        <v>82</v>
      </c>
      <c r="E321" s="8" t="s">
        <v>465</v>
      </c>
      <c r="F321" s="8" t="s">
        <v>31</v>
      </c>
      <c r="G321" s="8" t="s">
        <v>466</v>
      </c>
      <c r="H321" s="9" t="s">
        <v>18</v>
      </c>
      <c r="I321" s="10"/>
      <c r="J321" s="11" t="n">
        <f aca="false">INT((ROW()-2)/50)+1</f>
        <v>7</v>
      </c>
      <c r="K321" s="11" t="str">
        <f aca="false">IF(H321="","Pending",IF(OR(H321="0",H321="1",H321="2",H321="U"),"Complete","Invalid"))</f>
        <v>Complete</v>
      </c>
    </row>
    <row r="322" customFormat="false" ht="84" hidden="false" customHeight="true" outlineLevel="0" collapsed="false">
      <c r="A322" s="8" t="s">
        <v>651</v>
      </c>
      <c r="B322" s="8" t="s">
        <v>123</v>
      </c>
      <c r="C322" s="8" t="s">
        <v>124</v>
      </c>
      <c r="D322" s="8" t="s">
        <v>125</v>
      </c>
      <c r="E322" s="8" t="s">
        <v>278</v>
      </c>
      <c r="F322" s="8" t="s">
        <v>31</v>
      </c>
      <c r="G322" s="8" t="s">
        <v>279</v>
      </c>
      <c r="H322" s="9" t="s">
        <v>18</v>
      </c>
      <c r="I322" s="10"/>
      <c r="J322" s="11" t="n">
        <f aca="false">INT((ROW()-2)/50)+1</f>
        <v>7</v>
      </c>
      <c r="K322" s="11" t="str">
        <f aca="false">IF(H322="","Pending",IF(OR(H322="0",H322="1",H322="2",H322="U"),"Complete","Invalid"))</f>
        <v>Complete</v>
      </c>
    </row>
    <row r="323" customFormat="false" ht="84" hidden="false" customHeight="true" outlineLevel="0" collapsed="false">
      <c r="A323" s="8" t="s">
        <v>652</v>
      </c>
      <c r="B323" s="8" t="s">
        <v>45</v>
      </c>
      <c r="C323" s="8" t="s">
        <v>46</v>
      </c>
      <c r="D323" s="8" t="s">
        <v>47</v>
      </c>
      <c r="E323" s="8" t="s">
        <v>536</v>
      </c>
      <c r="F323" s="8" t="s">
        <v>109</v>
      </c>
      <c r="G323" s="8" t="s">
        <v>537</v>
      </c>
      <c r="H323" s="9" t="s">
        <v>132</v>
      </c>
      <c r="I323" s="10"/>
      <c r="J323" s="11" t="n">
        <f aca="false">INT((ROW()-2)/50)+1</f>
        <v>7</v>
      </c>
      <c r="K323" s="11" t="str">
        <f aca="false">IF(H323="","Pending",IF(OR(H323="0",H323="1",H323="2",H323="U"),"Complete","Invalid"))</f>
        <v>Complete</v>
      </c>
    </row>
    <row r="324" customFormat="false" ht="84" hidden="false" customHeight="true" outlineLevel="0" collapsed="false">
      <c r="A324" s="8" t="s">
        <v>653</v>
      </c>
      <c r="B324" s="8" t="s">
        <v>155</v>
      </c>
      <c r="C324" s="8" t="s">
        <v>156</v>
      </c>
      <c r="D324" s="8" t="s">
        <v>157</v>
      </c>
      <c r="E324" s="8" t="s">
        <v>186</v>
      </c>
      <c r="F324" s="8" t="s">
        <v>73</v>
      </c>
      <c r="G324" s="8" t="s">
        <v>187</v>
      </c>
      <c r="H324" s="9" t="s">
        <v>18</v>
      </c>
      <c r="I324" s="10"/>
      <c r="J324" s="11" t="n">
        <f aca="false">INT((ROW()-2)/50)+1</f>
        <v>7</v>
      </c>
      <c r="K324" s="11" t="str">
        <f aca="false">IF(H324="","Pending",IF(OR(H324="0",H324="1",H324="2",H324="U"),"Complete","Invalid"))</f>
        <v>Complete</v>
      </c>
    </row>
    <row r="325" customFormat="false" ht="84" hidden="false" customHeight="true" outlineLevel="0" collapsed="false">
      <c r="A325" s="8" t="s">
        <v>654</v>
      </c>
      <c r="B325" s="8" t="s">
        <v>271</v>
      </c>
      <c r="C325" s="8" t="s">
        <v>272</v>
      </c>
      <c r="D325" s="8" t="s">
        <v>273</v>
      </c>
      <c r="E325" s="8" t="s">
        <v>368</v>
      </c>
      <c r="F325" s="8" t="s">
        <v>369</v>
      </c>
      <c r="G325" s="8" t="s">
        <v>370</v>
      </c>
      <c r="H325" s="9" t="s">
        <v>132</v>
      </c>
      <c r="I325" s="10"/>
      <c r="J325" s="11" t="n">
        <f aca="false">INT((ROW()-2)/50)+1</f>
        <v>7</v>
      </c>
      <c r="K325" s="11" t="str">
        <f aca="false">IF(H325="","Pending",IF(OR(H325="0",H325="1",H325="2",H325="U"),"Complete","Invalid"))</f>
        <v>Complete</v>
      </c>
    </row>
    <row r="326" customFormat="false" ht="84" hidden="false" customHeight="true" outlineLevel="0" collapsed="false">
      <c r="A326" s="8" t="s">
        <v>655</v>
      </c>
      <c r="B326" s="8" t="s">
        <v>20</v>
      </c>
      <c r="C326" s="8" t="s">
        <v>21</v>
      </c>
      <c r="D326" s="8" t="s">
        <v>22</v>
      </c>
      <c r="E326" s="8" t="s">
        <v>268</v>
      </c>
      <c r="F326" s="8" t="s">
        <v>84</v>
      </c>
      <c r="G326" s="8" t="s">
        <v>269</v>
      </c>
      <c r="H326" s="9" t="s">
        <v>18</v>
      </c>
      <c r="I326" s="10"/>
      <c r="J326" s="11" t="n">
        <f aca="false">INT((ROW()-2)/50)+1</f>
        <v>7</v>
      </c>
      <c r="K326" s="11" t="str">
        <f aca="false">IF(H326="","Pending",IF(OR(H326="0",H326="1",H326="2",H326="U"),"Complete","Invalid"))</f>
        <v>Complete</v>
      </c>
    </row>
    <row r="327" customFormat="false" ht="84" hidden="false" customHeight="true" outlineLevel="0" collapsed="false">
      <c r="A327" s="8" t="s">
        <v>656</v>
      </c>
      <c r="B327" s="8" t="s">
        <v>98</v>
      </c>
      <c r="C327" s="8" t="s">
        <v>99</v>
      </c>
      <c r="D327" s="8" t="s">
        <v>100</v>
      </c>
      <c r="E327" s="8" t="s">
        <v>23</v>
      </c>
      <c r="F327" s="8" t="s">
        <v>24</v>
      </c>
      <c r="G327" s="8" t="s">
        <v>25</v>
      </c>
      <c r="H327" s="9" t="s">
        <v>114</v>
      </c>
      <c r="I327" s="10" t="s">
        <v>657</v>
      </c>
      <c r="J327" s="11" t="n">
        <f aca="false">INT((ROW()-2)/50)+1</f>
        <v>7</v>
      </c>
      <c r="K327" s="11" t="str">
        <f aca="false">IF(H327="","Pending",IF(OR(H327="0",H327="1",H327="2",H327="U"),"Complete","Invalid"))</f>
        <v>Complete</v>
      </c>
    </row>
    <row r="328" customFormat="false" ht="84" hidden="false" customHeight="true" outlineLevel="0" collapsed="false">
      <c r="A328" s="8" t="s">
        <v>658</v>
      </c>
      <c r="B328" s="8" t="s">
        <v>248</v>
      </c>
      <c r="C328" s="8" t="s">
        <v>249</v>
      </c>
      <c r="D328" s="8" t="s">
        <v>250</v>
      </c>
      <c r="E328" s="8" t="s">
        <v>307</v>
      </c>
      <c r="F328" s="8" t="s">
        <v>31</v>
      </c>
      <c r="G328" s="8" t="s">
        <v>308</v>
      </c>
      <c r="H328" s="9" t="s">
        <v>18</v>
      </c>
      <c r="I328" s="10"/>
      <c r="J328" s="11" t="n">
        <f aca="false">INT((ROW()-2)/50)+1</f>
        <v>7</v>
      </c>
      <c r="K328" s="11" t="str">
        <f aca="false">IF(H328="","Pending",IF(OR(H328="0",H328="1",H328="2",H328="U"),"Complete","Invalid"))</f>
        <v>Complete</v>
      </c>
    </row>
    <row r="329" customFormat="false" ht="84" hidden="false" customHeight="true" outlineLevel="0" collapsed="false">
      <c r="A329" s="8" t="s">
        <v>659</v>
      </c>
      <c r="B329" s="8" t="s">
        <v>51</v>
      </c>
      <c r="C329" s="8" t="s">
        <v>52</v>
      </c>
      <c r="D329" s="8" t="s">
        <v>53</v>
      </c>
      <c r="E329" s="8" t="s">
        <v>275</v>
      </c>
      <c r="F329" s="8" t="s">
        <v>142</v>
      </c>
      <c r="G329" s="8" t="s">
        <v>276</v>
      </c>
      <c r="H329" s="9" t="s">
        <v>18</v>
      </c>
      <c r="I329" s="10"/>
      <c r="J329" s="11" t="n">
        <f aca="false">INT((ROW()-2)/50)+1</f>
        <v>7</v>
      </c>
      <c r="K329" s="11" t="str">
        <f aca="false">IF(H329="","Pending",IF(OR(H329="0",H329="1",H329="2",H329="U"),"Complete","Invalid"))</f>
        <v>Complete</v>
      </c>
    </row>
    <row r="330" customFormat="false" ht="84" hidden="false" customHeight="true" outlineLevel="0" collapsed="false">
      <c r="A330" s="8" t="s">
        <v>660</v>
      </c>
      <c r="B330" s="8" t="s">
        <v>58</v>
      </c>
      <c r="C330" s="8" t="s">
        <v>59</v>
      </c>
      <c r="D330" s="8" t="s">
        <v>60</v>
      </c>
      <c r="E330" s="8" t="s">
        <v>241</v>
      </c>
      <c r="F330" s="8" t="s">
        <v>38</v>
      </c>
      <c r="G330" s="8" t="s">
        <v>242</v>
      </c>
      <c r="H330" s="9" t="s">
        <v>18</v>
      </c>
      <c r="I330" s="10"/>
      <c r="J330" s="11" t="n">
        <f aca="false">INT((ROW()-2)/50)+1</f>
        <v>7</v>
      </c>
      <c r="K330" s="11" t="str">
        <f aca="false">IF(H330="","Pending",IF(OR(H330="0",H330="1",H330="2",H330="U"),"Complete","Invalid"))</f>
        <v>Complete</v>
      </c>
    </row>
    <row r="331" customFormat="false" ht="84" hidden="false" customHeight="true" outlineLevel="0" collapsed="false">
      <c r="A331" s="8" t="s">
        <v>661</v>
      </c>
      <c r="B331" s="8" t="s">
        <v>12</v>
      </c>
      <c r="C331" s="8" t="s">
        <v>13</v>
      </c>
      <c r="D331" s="8" t="s">
        <v>14</v>
      </c>
      <c r="E331" s="8" t="s">
        <v>83</v>
      </c>
      <c r="F331" s="8" t="s">
        <v>84</v>
      </c>
      <c r="G331" s="8" t="s">
        <v>85</v>
      </c>
      <c r="H331" s="9" t="s">
        <v>18</v>
      </c>
      <c r="I331" s="10"/>
      <c r="J331" s="11" t="n">
        <f aca="false">INT((ROW()-2)/50)+1</f>
        <v>7</v>
      </c>
      <c r="K331" s="11" t="str">
        <f aca="false">IF(H331="","Pending",IF(OR(H331="0",H331="1",H331="2",H331="U"),"Complete","Invalid"))</f>
        <v>Complete</v>
      </c>
    </row>
    <row r="332" customFormat="false" ht="84" hidden="false" customHeight="true" outlineLevel="0" collapsed="false">
      <c r="A332" s="8" t="s">
        <v>662</v>
      </c>
      <c r="B332" s="8" t="s">
        <v>58</v>
      </c>
      <c r="C332" s="8" t="s">
        <v>59</v>
      </c>
      <c r="D332" s="8" t="s">
        <v>60</v>
      </c>
      <c r="E332" s="8" t="s">
        <v>445</v>
      </c>
      <c r="F332" s="8" t="s">
        <v>84</v>
      </c>
      <c r="G332" s="8" t="s">
        <v>446</v>
      </c>
      <c r="H332" s="9" t="s">
        <v>18</v>
      </c>
      <c r="I332" s="10"/>
      <c r="J332" s="11" t="n">
        <f aca="false">INT((ROW()-2)/50)+1</f>
        <v>7</v>
      </c>
      <c r="K332" s="11" t="str">
        <f aca="false">IF(H332="","Pending",IF(OR(H332="0",H332="1",H332="2",H332="U"),"Complete","Invalid"))</f>
        <v>Complete</v>
      </c>
    </row>
    <row r="333" customFormat="false" ht="84" hidden="false" customHeight="true" outlineLevel="0" collapsed="false">
      <c r="A333" s="8" t="s">
        <v>663</v>
      </c>
      <c r="B333" s="8" t="s">
        <v>45</v>
      </c>
      <c r="C333" s="8" t="s">
        <v>46</v>
      </c>
      <c r="D333" s="8" t="s">
        <v>47</v>
      </c>
      <c r="E333" s="8" t="s">
        <v>445</v>
      </c>
      <c r="F333" s="8" t="s">
        <v>84</v>
      </c>
      <c r="G333" s="8" t="s">
        <v>446</v>
      </c>
      <c r="H333" s="9" t="s">
        <v>18</v>
      </c>
      <c r="I333" s="10"/>
      <c r="J333" s="11" t="n">
        <f aca="false">INT((ROW()-2)/50)+1</f>
        <v>7</v>
      </c>
      <c r="K333" s="11" t="str">
        <f aca="false">IF(H333="","Pending",IF(OR(H333="0",H333="1",H333="2",H333="U"),"Complete","Invalid"))</f>
        <v>Complete</v>
      </c>
    </row>
    <row r="334" customFormat="false" ht="84" hidden="false" customHeight="true" outlineLevel="0" collapsed="false">
      <c r="A334" s="8" t="s">
        <v>664</v>
      </c>
      <c r="B334" s="8" t="s">
        <v>76</v>
      </c>
      <c r="C334" s="8" t="s">
        <v>77</v>
      </c>
      <c r="D334" s="8" t="s">
        <v>78</v>
      </c>
      <c r="E334" s="8" t="s">
        <v>215</v>
      </c>
      <c r="F334" s="8" t="s">
        <v>216</v>
      </c>
      <c r="G334" s="8" t="s">
        <v>217</v>
      </c>
      <c r="H334" s="9" t="s">
        <v>114</v>
      </c>
      <c r="I334" s="10"/>
      <c r="J334" s="11" t="n">
        <f aca="false">INT((ROW()-2)/50)+1</f>
        <v>7</v>
      </c>
      <c r="K334" s="11" t="str">
        <f aca="false">IF(H334="","Pending",IF(OR(H334="0",H334="1",H334="2",H334="U"),"Complete","Invalid"))</f>
        <v>Complete</v>
      </c>
    </row>
    <row r="335" customFormat="false" ht="84" hidden="false" customHeight="true" outlineLevel="0" collapsed="false">
      <c r="A335" s="8" t="s">
        <v>665</v>
      </c>
      <c r="B335" s="8" t="s">
        <v>259</v>
      </c>
      <c r="C335" s="8" t="s">
        <v>260</v>
      </c>
      <c r="D335" s="8" t="s">
        <v>261</v>
      </c>
      <c r="E335" s="8" t="s">
        <v>48</v>
      </c>
      <c r="F335" s="8" t="s">
        <v>24</v>
      </c>
      <c r="G335" s="8" t="s">
        <v>49</v>
      </c>
      <c r="H335" s="9" t="s">
        <v>18</v>
      </c>
      <c r="I335" s="10"/>
      <c r="J335" s="11" t="n">
        <f aca="false">INT((ROW()-2)/50)+1</f>
        <v>7</v>
      </c>
      <c r="K335" s="11" t="str">
        <f aca="false">IF(H335="","Pending",IF(OR(H335="0",H335="1",H335="2",H335="U"),"Complete","Invalid"))</f>
        <v>Complete</v>
      </c>
    </row>
    <row r="336" customFormat="false" ht="84" hidden="false" customHeight="true" outlineLevel="0" collapsed="false">
      <c r="A336" s="8" t="s">
        <v>666</v>
      </c>
      <c r="B336" s="8" t="s">
        <v>248</v>
      </c>
      <c r="C336" s="8" t="s">
        <v>249</v>
      </c>
      <c r="D336" s="8" t="s">
        <v>250</v>
      </c>
      <c r="E336" s="8" t="s">
        <v>465</v>
      </c>
      <c r="F336" s="8" t="s">
        <v>31</v>
      </c>
      <c r="G336" s="8" t="s">
        <v>466</v>
      </c>
      <c r="H336" s="9" t="s">
        <v>18</v>
      </c>
      <c r="I336" s="10"/>
      <c r="J336" s="11" t="n">
        <f aca="false">INT((ROW()-2)/50)+1</f>
        <v>7</v>
      </c>
      <c r="K336" s="11" t="str">
        <f aca="false">IF(H336="","Pending",IF(OR(H336="0",H336="1",H336="2",H336="U"),"Complete","Invalid"))</f>
        <v>Complete</v>
      </c>
    </row>
    <row r="337" customFormat="false" ht="84" hidden="false" customHeight="true" outlineLevel="0" collapsed="false">
      <c r="A337" s="8" t="s">
        <v>667</v>
      </c>
      <c r="B337" s="8" t="s">
        <v>58</v>
      </c>
      <c r="C337" s="8" t="s">
        <v>59</v>
      </c>
      <c r="D337" s="8" t="s">
        <v>60</v>
      </c>
      <c r="E337" s="8" t="s">
        <v>72</v>
      </c>
      <c r="F337" s="8" t="s">
        <v>73</v>
      </c>
      <c r="G337" s="8" t="s">
        <v>74</v>
      </c>
      <c r="H337" s="9" t="s">
        <v>18</v>
      </c>
      <c r="I337" s="10"/>
      <c r="J337" s="11" t="n">
        <f aca="false">INT((ROW()-2)/50)+1</f>
        <v>7</v>
      </c>
      <c r="K337" s="11" t="str">
        <f aca="false">IF(H337="","Pending",IF(OR(H337="0",H337="1",H337="2",H337="U"),"Complete","Invalid"))</f>
        <v>Complete</v>
      </c>
    </row>
    <row r="338" customFormat="false" ht="84" hidden="false" customHeight="true" outlineLevel="0" collapsed="false">
      <c r="A338" s="8" t="s">
        <v>668</v>
      </c>
      <c r="B338" s="8" t="s">
        <v>238</v>
      </c>
      <c r="C338" s="8" t="s">
        <v>239</v>
      </c>
      <c r="D338" s="8" t="s">
        <v>240</v>
      </c>
      <c r="E338" s="8" t="s">
        <v>186</v>
      </c>
      <c r="F338" s="8" t="s">
        <v>73</v>
      </c>
      <c r="G338" s="8" t="s">
        <v>187</v>
      </c>
      <c r="H338" s="9" t="s">
        <v>18</v>
      </c>
      <c r="I338" s="10"/>
      <c r="J338" s="11" t="n">
        <f aca="false">INT((ROW()-2)/50)+1</f>
        <v>7</v>
      </c>
      <c r="K338" s="11" t="str">
        <f aca="false">IF(H338="","Pending",IF(OR(H338="0",H338="1",H338="2",H338="U"),"Complete","Invalid"))</f>
        <v>Complete</v>
      </c>
    </row>
    <row r="339" customFormat="false" ht="84" hidden="false" customHeight="true" outlineLevel="0" collapsed="false">
      <c r="A339" s="8" t="s">
        <v>669</v>
      </c>
      <c r="B339" s="8" t="s">
        <v>12</v>
      </c>
      <c r="C339" s="8" t="s">
        <v>13</v>
      </c>
      <c r="D339" s="8" t="s">
        <v>14</v>
      </c>
      <c r="E339" s="8" t="s">
        <v>102</v>
      </c>
      <c r="F339" s="8" t="s">
        <v>66</v>
      </c>
      <c r="G339" s="8" t="s">
        <v>103</v>
      </c>
      <c r="H339" s="9" t="s">
        <v>114</v>
      </c>
      <c r="I339" s="10"/>
      <c r="J339" s="11" t="n">
        <f aca="false">INT((ROW()-2)/50)+1</f>
        <v>7</v>
      </c>
      <c r="K339" s="11" t="str">
        <f aca="false">IF(H339="","Pending",IF(OR(H339="0",H339="1",H339="2",H339="U"),"Complete","Invalid"))</f>
        <v>Complete</v>
      </c>
    </row>
    <row r="340" customFormat="false" ht="84" hidden="false" customHeight="true" outlineLevel="0" collapsed="false">
      <c r="A340" s="8" t="s">
        <v>670</v>
      </c>
      <c r="B340" s="8" t="s">
        <v>171</v>
      </c>
      <c r="C340" s="8" t="s">
        <v>172</v>
      </c>
      <c r="D340" s="8" t="s">
        <v>173</v>
      </c>
      <c r="E340" s="8" t="s">
        <v>145</v>
      </c>
      <c r="F340" s="8" t="s">
        <v>95</v>
      </c>
      <c r="G340" s="8" t="s">
        <v>146</v>
      </c>
      <c r="H340" s="9" t="s">
        <v>132</v>
      </c>
      <c r="I340" s="10"/>
      <c r="J340" s="11" t="n">
        <f aca="false">INT((ROW()-2)/50)+1</f>
        <v>7</v>
      </c>
      <c r="K340" s="11" t="str">
        <f aca="false">IF(H340="","Pending",IF(OR(H340="0",H340="1",H340="2",H340="U"),"Complete","Invalid"))</f>
        <v>Complete</v>
      </c>
    </row>
    <row r="341" customFormat="false" ht="84" hidden="false" customHeight="true" outlineLevel="0" collapsed="false">
      <c r="A341" s="8" t="s">
        <v>671</v>
      </c>
      <c r="B341" s="8" t="s">
        <v>76</v>
      </c>
      <c r="C341" s="8" t="s">
        <v>77</v>
      </c>
      <c r="D341" s="8" t="s">
        <v>78</v>
      </c>
      <c r="E341" s="8" t="s">
        <v>672</v>
      </c>
      <c r="F341" s="8" t="s">
        <v>216</v>
      </c>
      <c r="G341" s="8" t="s">
        <v>673</v>
      </c>
      <c r="H341" s="9" t="s">
        <v>114</v>
      </c>
      <c r="I341" s="10"/>
      <c r="J341" s="11" t="n">
        <f aca="false">INT((ROW()-2)/50)+1</f>
        <v>7</v>
      </c>
      <c r="K341" s="11" t="str">
        <f aca="false">IF(H341="","Pending",IF(OR(H341="0",H341="1",H341="2",H341="U"),"Complete","Invalid"))</f>
        <v>Complete</v>
      </c>
    </row>
    <row r="342" customFormat="false" ht="84" hidden="false" customHeight="true" outlineLevel="0" collapsed="false">
      <c r="A342" s="8" t="s">
        <v>674</v>
      </c>
      <c r="B342" s="8" t="s">
        <v>209</v>
      </c>
      <c r="C342" s="8" t="s">
        <v>210</v>
      </c>
      <c r="D342" s="8" t="s">
        <v>211</v>
      </c>
      <c r="E342" s="8" t="s">
        <v>182</v>
      </c>
      <c r="F342" s="8" t="s">
        <v>66</v>
      </c>
      <c r="G342" s="8" t="s">
        <v>183</v>
      </c>
      <c r="H342" s="9" t="s">
        <v>18</v>
      </c>
      <c r="I342" s="10" t="s">
        <v>675</v>
      </c>
      <c r="J342" s="11" t="n">
        <f aca="false">INT((ROW()-2)/50)+1</f>
        <v>7</v>
      </c>
      <c r="K342" s="11" t="str">
        <f aca="false">IF(H342="","Pending",IF(OR(H342="0",H342="1",H342="2",H342="U"),"Complete","Invalid"))</f>
        <v>Complete</v>
      </c>
    </row>
    <row r="343" customFormat="false" ht="84" hidden="false" customHeight="true" outlineLevel="0" collapsed="false">
      <c r="A343" s="8" t="s">
        <v>676</v>
      </c>
      <c r="B343" s="8" t="s">
        <v>80</v>
      </c>
      <c r="C343" s="8" t="s">
        <v>81</v>
      </c>
      <c r="D343" s="8" t="s">
        <v>82</v>
      </c>
      <c r="E343" s="8" t="s">
        <v>72</v>
      </c>
      <c r="F343" s="8" t="s">
        <v>73</v>
      </c>
      <c r="G343" s="8" t="s">
        <v>74</v>
      </c>
      <c r="H343" s="9" t="s">
        <v>114</v>
      </c>
      <c r="I343" s="10"/>
      <c r="J343" s="11" t="n">
        <f aca="false">INT((ROW()-2)/50)+1</f>
        <v>7</v>
      </c>
      <c r="K343" s="11" t="str">
        <f aca="false">IF(H343="","Pending",IF(OR(H343="0",H343="1",H343="2",H343="U"),"Complete","Invalid"))</f>
        <v>Complete</v>
      </c>
    </row>
    <row r="344" customFormat="false" ht="84" hidden="false" customHeight="true" outlineLevel="0" collapsed="false">
      <c r="A344" s="8" t="s">
        <v>677</v>
      </c>
      <c r="B344" s="8" t="s">
        <v>312</v>
      </c>
      <c r="C344" s="8" t="s">
        <v>313</v>
      </c>
      <c r="D344" s="8" t="s">
        <v>314</v>
      </c>
      <c r="E344" s="8" t="s">
        <v>37</v>
      </c>
      <c r="F344" s="8" t="s">
        <v>38</v>
      </c>
      <c r="G344" s="8" t="s">
        <v>39</v>
      </c>
      <c r="H344" s="9" t="s">
        <v>114</v>
      </c>
      <c r="I344" s="10" t="s">
        <v>678</v>
      </c>
      <c r="J344" s="11" t="n">
        <f aca="false">INT((ROW()-2)/50)+1</f>
        <v>7</v>
      </c>
      <c r="K344" s="11" t="str">
        <f aca="false">IF(H344="","Pending",IF(OR(H344="0",H344="1",H344="2",H344="U"),"Complete","Invalid"))</f>
        <v>Complete</v>
      </c>
    </row>
    <row r="345" customFormat="false" ht="84" hidden="false" customHeight="true" outlineLevel="0" collapsed="false">
      <c r="A345" s="8" t="s">
        <v>679</v>
      </c>
      <c r="B345" s="8" t="s">
        <v>105</v>
      </c>
      <c r="C345" s="8" t="s">
        <v>106</v>
      </c>
      <c r="D345" s="8" t="s">
        <v>107</v>
      </c>
      <c r="E345" s="8" t="s">
        <v>72</v>
      </c>
      <c r="F345" s="8" t="s">
        <v>73</v>
      </c>
      <c r="G345" s="8" t="s">
        <v>74</v>
      </c>
      <c r="H345" s="9" t="s">
        <v>18</v>
      </c>
      <c r="I345" s="10"/>
      <c r="J345" s="11" t="n">
        <f aca="false">INT((ROW()-2)/50)+1</f>
        <v>7</v>
      </c>
      <c r="K345" s="11" t="str">
        <f aca="false">IF(H345="","Pending",IF(OR(H345="0",H345="1",H345="2",H345="U"),"Complete","Invalid"))</f>
        <v>Complete</v>
      </c>
    </row>
    <row r="346" customFormat="false" ht="84" hidden="false" customHeight="true" outlineLevel="0" collapsed="false">
      <c r="A346" s="8" t="s">
        <v>680</v>
      </c>
      <c r="B346" s="8" t="s">
        <v>129</v>
      </c>
      <c r="C346" s="8" t="s">
        <v>130</v>
      </c>
      <c r="D346" s="8" t="s">
        <v>131</v>
      </c>
      <c r="E346" s="8" t="s">
        <v>102</v>
      </c>
      <c r="F346" s="8" t="s">
        <v>66</v>
      </c>
      <c r="G346" s="8" t="s">
        <v>103</v>
      </c>
      <c r="H346" s="9" t="s">
        <v>18</v>
      </c>
      <c r="I346" s="10"/>
      <c r="J346" s="11" t="n">
        <f aca="false">INT((ROW()-2)/50)+1</f>
        <v>7</v>
      </c>
      <c r="K346" s="11" t="str">
        <f aca="false">IF(H346="","Pending",IF(OR(H346="0",H346="1",H346="2",H346="U"),"Complete","Invalid"))</f>
        <v>Complete</v>
      </c>
    </row>
    <row r="347" customFormat="false" ht="84" hidden="false" customHeight="true" outlineLevel="0" collapsed="false">
      <c r="A347" s="8" t="s">
        <v>681</v>
      </c>
      <c r="B347" s="8" t="s">
        <v>27</v>
      </c>
      <c r="C347" s="8" t="s">
        <v>28</v>
      </c>
      <c r="D347" s="8" t="s">
        <v>29</v>
      </c>
      <c r="E347" s="8" t="s">
        <v>622</v>
      </c>
      <c r="F347" s="8" t="s">
        <v>95</v>
      </c>
      <c r="G347" s="8" t="s">
        <v>623</v>
      </c>
      <c r="H347" s="9" t="s">
        <v>114</v>
      </c>
      <c r="I347" s="10"/>
      <c r="J347" s="11" t="n">
        <f aca="false">INT((ROW()-2)/50)+1</f>
        <v>7</v>
      </c>
      <c r="K347" s="11" t="str">
        <f aca="false">IF(H347="","Pending",IF(OR(H347="0",H347="1",H347="2",H347="U"),"Complete","Invalid"))</f>
        <v>Complete</v>
      </c>
    </row>
    <row r="348" customFormat="false" ht="84" hidden="false" customHeight="true" outlineLevel="0" collapsed="false">
      <c r="A348" s="8" t="s">
        <v>682</v>
      </c>
      <c r="B348" s="8" t="s">
        <v>91</v>
      </c>
      <c r="C348" s="8" t="s">
        <v>92</v>
      </c>
      <c r="D348" s="8" t="s">
        <v>93</v>
      </c>
      <c r="E348" s="8" t="s">
        <v>344</v>
      </c>
      <c r="F348" s="8" t="s">
        <v>142</v>
      </c>
      <c r="G348" s="8" t="s">
        <v>345</v>
      </c>
      <c r="H348" s="9" t="s">
        <v>114</v>
      </c>
      <c r="I348" s="10"/>
      <c r="J348" s="11" t="n">
        <f aca="false">INT((ROW()-2)/50)+1</f>
        <v>7</v>
      </c>
      <c r="K348" s="11" t="str">
        <f aca="false">IF(H348="","Pending",IF(OR(H348="0",H348="1",H348="2",H348="U"),"Complete","Invalid"))</f>
        <v>Complete</v>
      </c>
    </row>
    <row r="349" customFormat="false" ht="84" hidden="false" customHeight="true" outlineLevel="0" collapsed="false">
      <c r="A349" s="8" t="s">
        <v>683</v>
      </c>
      <c r="B349" s="8" t="s">
        <v>134</v>
      </c>
      <c r="C349" s="8" t="s">
        <v>135</v>
      </c>
      <c r="D349" s="8" t="s">
        <v>136</v>
      </c>
      <c r="E349" s="8" t="s">
        <v>268</v>
      </c>
      <c r="F349" s="8" t="s">
        <v>84</v>
      </c>
      <c r="G349" s="8" t="s">
        <v>269</v>
      </c>
      <c r="H349" s="9" t="s">
        <v>18</v>
      </c>
      <c r="I349" s="10"/>
      <c r="J349" s="11" t="n">
        <f aca="false">INT((ROW()-2)/50)+1</f>
        <v>7</v>
      </c>
      <c r="K349" s="11" t="str">
        <f aca="false">IF(H349="","Pending",IF(OR(H349="0",H349="1",H349="2",H349="U"),"Complete","Invalid"))</f>
        <v>Complete</v>
      </c>
    </row>
    <row r="350" customFormat="false" ht="84" hidden="false" customHeight="true" outlineLevel="0" collapsed="false">
      <c r="A350" s="8" t="s">
        <v>684</v>
      </c>
      <c r="B350" s="8" t="s">
        <v>45</v>
      </c>
      <c r="C350" s="8" t="s">
        <v>46</v>
      </c>
      <c r="D350" s="8" t="s">
        <v>47</v>
      </c>
      <c r="E350" s="8" t="s">
        <v>65</v>
      </c>
      <c r="F350" s="8" t="s">
        <v>66</v>
      </c>
      <c r="G350" s="8" t="s">
        <v>67</v>
      </c>
      <c r="H350" s="9" t="s">
        <v>132</v>
      </c>
      <c r="I350" s="10"/>
      <c r="J350" s="11" t="n">
        <f aca="false">INT((ROW()-2)/50)+1</f>
        <v>7</v>
      </c>
      <c r="K350" s="11" t="str">
        <f aca="false">IF(H350="","Pending",IF(OR(H350="0",H350="1",H350="2",H350="U"),"Complete","Invalid"))</f>
        <v>Complete</v>
      </c>
    </row>
    <row r="351" customFormat="false" ht="84" hidden="false" customHeight="true" outlineLevel="0" collapsed="false">
      <c r="A351" s="8" t="s">
        <v>685</v>
      </c>
      <c r="B351" s="8" t="s">
        <v>238</v>
      </c>
      <c r="C351" s="8" t="s">
        <v>239</v>
      </c>
      <c r="D351" s="8" t="s">
        <v>240</v>
      </c>
      <c r="E351" s="8" t="s">
        <v>48</v>
      </c>
      <c r="F351" s="8" t="s">
        <v>24</v>
      </c>
      <c r="G351" s="8" t="s">
        <v>49</v>
      </c>
      <c r="H351" s="9" t="s">
        <v>18</v>
      </c>
      <c r="I351" s="10"/>
      <c r="J351" s="11" t="n">
        <f aca="false">INT((ROW()-2)/50)+1</f>
        <v>7</v>
      </c>
      <c r="K351" s="11" t="str">
        <f aca="false">IF(H351="","Pending",IF(OR(H351="0",H351="1",H351="2",H351="U"),"Complete","Invalid"))</f>
        <v>Complete</v>
      </c>
    </row>
    <row r="352" customFormat="false" ht="84" hidden="false" customHeight="true" outlineLevel="0" collapsed="false">
      <c r="A352" s="8" t="s">
        <v>686</v>
      </c>
      <c r="B352" s="8" t="s">
        <v>12</v>
      </c>
      <c r="C352" s="8" t="s">
        <v>13</v>
      </c>
      <c r="D352" s="8" t="s">
        <v>14</v>
      </c>
      <c r="E352" s="8" t="s">
        <v>290</v>
      </c>
      <c r="F352" s="8" t="s">
        <v>55</v>
      </c>
      <c r="G352" s="8" t="s">
        <v>291</v>
      </c>
      <c r="H352" s="9" t="s">
        <v>18</v>
      </c>
      <c r="I352" s="10"/>
      <c r="J352" s="11" t="n">
        <f aca="false">INT((ROW()-2)/50)+1</f>
        <v>8</v>
      </c>
      <c r="K352" s="11" t="str">
        <f aca="false">IF(H352="","Pending",IF(OR(H352="0",H352="1",H352="2",H352="U"),"Complete","Invalid"))</f>
        <v>Complete</v>
      </c>
    </row>
    <row r="353" customFormat="false" ht="84" hidden="false" customHeight="true" outlineLevel="0" collapsed="false">
      <c r="A353" s="8" t="s">
        <v>687</v>
      </c>
      <c r="B353" s="8" t="s">
        <v>51</v>
      </c>
      <c r="C353" s="8" t="s">
        <v>52</v>
      </c>
      <c r="D353" s="8" t="s">
        <v>53</v>
      </c>
      <c r="E353" s="8" t="s">
        <v>319</v>
      </c>
      <c r="F353" s="8" t="s">
        <v>62</v>
      </c>
      <c r="G353" s="8" t="s">
        <v>320</v>
      </c>
      <c r="H353" s="9" t="s">
        <v>18</v>
      </c>
      <c r="I353" s="10"/>
      <c r="J353" s="11" t="n">
        <f aca="false">INT((ROW()-2)/50)+1</f>
        <v>8</v>
      </c>
      <c r="K353" s="11" t="str">
        <f aca="false">IF(H353="","Pending",IF(OR(H353="0",H353="1",H353="2",H353="U"),"Complete","Invalid"))</f>
        <v>Complete</v>
      </c>
    </row>
    <row r="354" customFormat="false" ht="84" hidden="false" customHeight="true" outlineLevel="0" collapsed="false">
      <c r="A354" s="8" t="s">
        <v>688</v>
      </c>
      <c r="B354" s="8" t="s">
        <v>341</v>
      </c>
      <c r="C354" s="8" t="s">
        <v>342</v>
      </c>
      <c r="D354" s="8" t="s">
        <v>343</v>
      </c>
      <c r="E354" s="8" t="s">
        <v>529</v>
      </c>
      <c r="F354" s="8" t="s">
        <v>142</v>
      </c>
      <c r="G354" s="8" t="s">
        <v>530</v>
      </c>
      <c r="H354" s="9" t="s">
        <v>18</v>
      </c>
      <c r="I354" s="10" t="s">
        <v>346</v>
      </c>
      <c r="J354" s="11" t="n">
        <f aca="false">INT((ROW()-2)/50)+1</f>
        <v>8</v>
      </c>
      <c r="K354" s="11" t="str">
        <f aca="false">IF(H354="","Pending",IF(OR(H354="0",H354="1",H354="2",H354="U"),"Complete","Invalid"))</f>
        <v>Complete</v>
      </c>
    </row>
    <row r="355" customFormat="false" ht="84" hidden="false" customHeight="true" outlineLevel="0" collapsed="false">
      <c r="A355" s="8" t="s">
        <v>689</v>
      </c>
      <c r="B355" s="8" t="s">
        <v>51</v>
      </c>
      <c r="C355" s="8" t="s">
        <v>52</v>
      </c>
      <c r="D355" s="8" t="s">
        <v>53</v>
      </c>
      <c r="E355" s="8" t="s">
        <v>690</v>
      </c>
      <c r="F355" s="8" t="s">
        <v>88</v>
      </c>
      <c r="G355" s="8" t="s">
        <v>691</v>
      </c>
      <c r="H355" s="9" t="s">
        <v>18</v>
      </c>
      <c r="I355" s="10"/>
      <c r="J355" s="11" t="n">
        <f aca="false">INT((ROW()-2)/50)+1</f>
        <v>8</v>
      </c>
      <c r="K355" s="11" t="str">
        <f aca="false">IF(H355="","Pending",IF(OR(H355="0",H355="1",H355="2",H355="U"),"Complete","Invalid"))</f>
        <v>Complete</v>
      </c>
    </row>
    <row r="356" customFormat="false" ht="84" hidden="false" customHeight="true" outlineLevel="0" collapsed="false">
      <c r="A356" s="8" t="s">
        <v>692</v>
      </c>
      <c r="B356" s="8" t="s">
        <v>123</v>
      </c>
      <c r="C356" s="8" t="s">
        <v>124</v>
      </c>
      <c r="D356" s="8" t="s">
        <v>125</v>
      </c>
      <c r="E356" s="8" t="s">
        <v>72</v>
      </c>
      <c r="F356" s="8" t="s">
        <v>73</v>
      </c>
      <c r="G356" s="8" t="s">
        <v>74</v>
      </c>
      <c r="H356" s="9" t="s">
        <v>18</v>
      </c>
      <c r="I356" s="10"/>
      <c r="J356" s="11" t="n">
        <f aca="false">INT((ROW()-2)/50)+1</f>
        <v>8</v>
      </c>
      <c r="K356" s="11" t="str">
        <f aca="false">IF(H356="","Pending",IF(OR(H356="0",H356="1",H356="2",H356="U"),"Complete","Invalid"))</f>
        <v>Complete</v>
      </c>
    </row>
    <row r="357" customFormat="false" ht="84" hidden="false" customHeight="true" outlineLevel="0" collapsed="false">
      <c r="A357" s="8" t="s">
        <v>693</v>
      </c>
      <c r="B357" s="8" t="s">
        <v>167</v>
      </c>
      <c r="C357" s="8" t="s">
        <v>168</v>
      </c>
      <c r="D357" s="8" t="s">
        <v>169</v>
      </c>
      <c r="E357" s="8" t="s">
        <v>379</v>
      </c>
      <c r="F357" s="8" t="s">
        <v>380</v>
      </c>
      <c r="G357" s="8" t="s">
        <v>381</v>
      </c>
      <c r="H357" s="9" t="s">
        <v>114</v>
      </c>
      <c r="I357" s="10" t="s">
        <v>694</v>
      </c>
      <c r="J357" s="11" t="n">
        <f aca="false">INT((ROW()-2)/50)+1</f>
        <v>8</v>
      </c>
      <c r="K357" s="11" t="str">
        <f aca="false">IF(H357="","Pending",IF(OR(H357="0",H357="1",H357="2",H357="U"),"Complete","Invalid"))</f>
        <v>Complete</v>
      </c>
    </row>
    <row r="358" customFormat="false" ht="84" hidden="false" customHeight="true" outlineLevel="0" collapsed="false">
      <c r="A358" s="8" t="s">
        <v>695</v>
      </c>
      <c r="B358" s="8" t="s">
        <v>219</v>
      </c>
      <c r="C358" s="8" t="s">
        <v>220</v>
      </c>
      <c r="D358" s="8" t="s">
        <v>221</v>
      </c>
      <c r="E358" s="8" t="s">
        <v>459</v>
      </c>
      <c r="F358" s="8" t="s">
        <v>460</v>
      </c>
      <c r="G358" s="8" t="s">
        <v>461</v>
      </c>
      <c r="H358" s="9" t="s">
        <v>132</v>
      </c>
      <c r="I358" s="10"/>
      <c r="J358" s="11" t="n">
        <f aca="false">INT((ROW()-2)/50)+1</f>
        <v>8</v>
      </c>
      <c r="K358" s="11" t="str">
        <f aca="false">IF(H358="","Pending",IF(OR(H358="0",H358="1",H358="2",H358="U"),"Complete","Invalid"))</f>
        <v>Complete</v>
      </c>
    </row>
    <row r="359" customFormat="false" ht="84" hidden="false" customHeight="true" outlineLevel="0" collapsed="false">
      <c r="A359" s="8" t="s">
        <v>696</v>
      </c>
      <c r="B359" s="8" t="s">
        <v>259</v>
      </c>
      <c r="C359" s="8" t="s">
        <v>260</v>
      </c>
      <c r="D359" s="8" t="s">
        <v>261</v>
      </c>
      <c r="E359" s="8" t="s">
        <v>252</v>
      </c>
      <c r="F359" s="8" t="s">
        <v>138</v>
      </c>
      <c r="G359" s="8" t="s">
        <v>253</v>
      </c>
      <c r="H359" s="9" t="s">
        <v>18</v>
      </c>
      <c r="I359" s="10"/>
      <c r="J359" s="11" t="n">
        <f aca="false">INT((ROW()-2)/50)+1</f>
        <v>8</v>
      </c>
      <c r="K359" s="11" t="str">
        <f aca="false">IF(H359="","Pending",IF(OR(H359="0",H359="1",H359="2",H359="U"),"Complete","Invalid"))</f>
        <v>Complete</v>
      </c>
    </row>
    <row r="360" customFormat="false" ht="84" hidden="false" customHeight="true" outlineLevel="0" collapsed="false">
      <c r="A360" s="8" t="s">
        <v>697</v>
      </c>
      <c r="B360" s="8" t="s">
        <v>45</v>
      </c>
      <c r="C360" s="8" t="s">
        <v>46</v>
      </c>
      <c r="D360" s="8" t="s">
        <v>47</v>
      </c>
      <c r="E360" s="8" t="s">
        <v>235</v>
      </c>
      <c r="F360" s="8" t="s">
        <v>16</v>
      </c>
      <c r="G360" s="8" t="s">
        <v>236</v>
      </c>
      <c r="H360" s="9" t="s">
        <v>114</v>
      </c>
      <c r="I360" s="10" t="s">
        <v>698</v>
      </c>
      <c r="J360" s="11" t="n">
        <f aca="false">INT((ROW()-2)/50)+1</f>
        <v>8</v>
      </c>
      <c r="K360" s="11" t="str">
        <f aca="false">IF(H360="","Pending",IF(OR(H360="0",H360="1",H360="2",H360="U"),"Complete","Invalid"))</f>
        <v>Complete</v>
      </c>
    </row>
    <row r="361" customFormat="false" ht="84" hidden="false" customHeight="true" outlineLevel="0" collapsed="false">
      <c r="A361" s="8" t="s">
        <v>699</v>
      </c>
      <c r="B361" s="8" t="s">
        <v>155</v>
      </c>
      <c r="C361" s="8" t="s">
        <v>156</v>
      </c>
      <c r="D361" s="8" t="s">
        <v>157</v>
      </c>
      <c r="E361" s="8" t="s">
        <v>307</v>
      </c>
      <c r="F361" s="8" t="s">
        <v>31</v>
      </c>
      <c r="G361" s="8" t="s">
        <v>308</v>
      </c>
      <c r="H361" s="9" t="s">
        <v>18</v>
      </c>
      <c r="I361" s="10"/>
      <c r="J361" s="11" t="n">
        <f aca="false">INT((ROW()-2)/50)+1</f>
        <v>8</v>
      </c>
      <c r="K361" s="11" t="str">
        <f aca="false">IF(H361="","Pending",IF(OR(H361="0",H361="1",H361="2",H361="U"),"Complete","Invalid"))</f>
        <v>Complete</v>
      </c>
    </row>
    <row r="362" customFormat="false" ht="84" hidden="false" customHeight="true" outlineLevel="0" collapsed="false">
      <c r="A362" s="8" t="s">
        <v>700</v>
      </c>
      <c r="B362" s="8" t="s">
        <v>171</v>
      </c>
      <c r="C362" s="8" t="s">
        <v>172</v>
      </c>
      <c r="D362" s="8" t="s">
        <v>173</v>
      </c>
      <c r="E362" s="8" t="s">
        <v>15</v>
      </c>
      <c r="F362" s="8" t="s">
        <v>16</v>
      </c>
      <c r="G362" s="8" t="s">
        <v>17</v>
      </c>
      <c r="H362" s="9" t="s">
        <v>18</v>
      </c>
      <c r="I362" s="10"/>
      <c r="J362" s="11" t="n">
        <f aca="false">INT((ROW()-2)/50)+1</f>
        <v>8</v>
      </c>
      <c r="K362" s="11" t="str">
        <f aca="false">IF(H362="","Pending",IF(OR(H362="0",H362="1",H362="2",H362="U"),"Complete","Invalid"))</f>
        <v>Complete</v>
      </c>
    </row>
    <row r="363" customFormat="false" ht="84" hidden="false" customHeight="true" outlineLevel="0" collapsed="false">
      <c r="A363" s="8" t="s">
        <v>701</v>
      </c>
      <c r="B363" s="8" t="s">
        <v>20</v>
      </c>
      <c r="C363" s="8" t="s">
        <v>21</v>
      </c>
      <c r="D363" s="8" t="s">
        <v>22</v>
      </c>
      <c r="E363" s="8" t="s">
        <v>15</v>
      </c>
      <c r="F363" s="8" t="s">
        <v>16</v>
      </c>
      <c r="G363" s="8" t="s">
        <v>17</v>
      </c>
      <c r="H363" s="9" t="s">
        <v>18</v>
      </c>
      <c r="I363" s="10"/>
      <c r="J363" s="11" t="n">
        <f aca="false">INT((ROW()-2)/50)+1</f>
        <v>8</v>
      </c>
      <c r="K363" s="11" t="str">
        <f aca="false">IF(H363="","Pending",IF(OR(H363="0",H363="1",H363="2",H363="U"),"Complete","Invalid"))</f>
        <v>Complete</v>
      </c>
    </row>
    <row r="364" customFormat="false" ht="84" hidden="false" customHeight="true" outlineLevel="0" collapsed="false">
      <c r="A364" s="8" t="s">
        <v>702</v>
      </c>
      <c r="B364" s="8" t="s">
        <v>223</v>
      </c>
      <c r="C364" s="8" t="s">
        <v>224</v>
      </c>
      <c r="D364" s="8" t="s">
        <v>225</v>
      </c>
      <c r="E364" s="8" t="s">
        <v>158</v>
      </c>
      <c r="F364" s="8" t="s">
        <v>38</v>
      </c>
      <c r="G364" s="8" t="s">
        <v>159</v>
      </c>
      <c r="H364" s="9" t="s">
        <v>18</v>
      </c>
      <c r="I364" s="10"/>
      <c r="J364" s="11" t="n">
        <f aca="false">INT((ROW()-2)/50)+1</f>
        <v>8</v>
      </c>
      <c r="K364" s="11" t="str">
        <f aca="false">IF(H364="","Pending",IF(OR(H364="0",H364="1",H364="2",H364="U"),"Complete","Invalid"))</f>
        <v>Complete</v>
      </c>
    </row>
    <row r="365" customFormat="false" ht="84" hidden="false" customHeight="true" outlineLevel="0" collapsed="false">
      <c r="A365" s="8" t="s">
        <v>703</v>
      </c>
      <c r="B365" s="8" t="s">
        <v>69</v>
      </c>
      <c r="C365" s="8" t="s">
        <v>70</v>
      </c>
      <c r="D365" s="8" t="s">
        <v>71</v>
      </c>
      <c r="E365" s="8" t="s">
        <v>471</v>
      </c>
      <c r="F365" s="8" t="s">
        <v>38</v>
      </c>
      <c r="G365" s="8" t="s">
        <v>472</v>
      </c>
      <c r="H365" s="9" t="s">
        <v>18</v>
      </c>
      <c r="I365" s="10"/>
      <c r="J365" s="11" t="n">
        <f aca="false">INT((ROW()-2)/50)+1</f>
        <v>8</v>
      </c>
      <c r="K365" s="11" t="str">
        <f aca="false">IF(H365="","Pending",IF(OR(H365="0",H365="1",H365="2",H365="U"),"Complete","Invalid"))</f>
        <v>Complete</v>
      </c>
    </row>
    <row r="366" customFormat="false" ht="84" hidden="false" customHeight="true" outlineLevel="0" collapsed="false">
      <c r="A366" s="8" t="s">
        <v>704</v>
      </c>
      <c r="B366" s="8" t="s">
        <v>198</v>
      </c>
      <c r="C366" s="8" t="s">
        <v>199</v>
      </c>
      <c r="D366" s="8" t="s">
        <v>200</v>
      </c>
      <c r="E366" s="8" t="s">
        <v>65</v>
      </c>
      <c r="F366" s="8" t="s">
        <v>66</v>
      </c>
      <c r="G366" s="8" t="s">
        <v>67</v>
      </c>
      <c r="H366" s="9" t="s">
        <v>18</v>
      </c>
      <c r="I366" s="10"/>
      <c r="J366" s="11" t="n">
        <f aca="false">INT((ROW()-2)/50)+1</f>
        <v>8</v>
      </c>
      <c r="K366" s="11" t="str">
        <f aca="false">IF(H366="","Pending",IF(OR(H366="0",H366="1",H366="2",H366="U"),"Complete","Invalid"))</f>
        <v>Complete</v>
      </c>
    </row>
    <row r="367" customFormat="false" ht="84" hidden="false" customHeight="true" outlineLevel="0" collapsed="false">
      <c r="A367" s="8" t="s">
        <v>705</v>
      </c>
      <c r="B367" s="8" t="s">
        <v>312</v>
      </c>
      <c r="C367" s="8" t="s">
        <v>313</v>
      </c>
      <c r="D367" s="8" t="s">
        <v>314</v>
      </c>
      <c r="E367" s="8" t="s">
        <v>164</v>
      </c>
      <c r="F367" s="8" t="s">
        <v>73</v>
      </c>
      <c r="G367" s="8" t="s">
        <v>165</v>
      </c>
      <c r="H367" s="9" t="s">
        <v>18</v>
      </c>
      <c r="I367" s="10"/>
      <c r="J367" s="11" t="n">
        <f aca="false">INT((ROW()-2)/50)+1</f>
        <v>8</v>
      </c>
      <c r="K367" s="11" t="str">
        <f aca="false">IF(H367="","Pending",IF(OR(H367="0",H367="1",H367="2",H367="U"),"Complete","Invalid"))</f>
        <v>Complete</v>
      </c>
    </row>
    <row r="368" customFormat="false" ht="84" hidden="false" customHeight="true" outlineLevel="0" collapsed="false">
      <c r="A368" s="8" t="s">
        <v>706</v>
      </c>
      <c r="B368" s="8" t="s">
        <v>223</v>
      </c>
      <c r="C368" s="8" t="s">
        <v>224</v>
      </c>
      <c r="D368" s="8" t="s">
        <v>225</v>
      </c>
      <c r="E368" s="8" t="s">
        <v>102</v>
      </c>
      <c r="F368" s="8" t="s">
        <v>66</v>
      </c>
      <c r="G368" s="8" t="s">
        <v>103</v>
      </c>
      <c r="H368" s="9" t="s">
        <v>18</v>
      </c>
      <c r="I368" s="10"/>
      <c r="J368" s="11" t="n">
        <f aca="false">INT((ROW()-2)/50)+1</f>
        <v>8</v>
      </c>
      <c r="K368" s="11" t="str">
        <f aca="false">IF(H368="","Pending",IF(OR(H368="0",H368="1",H368="2",H368="U"),"Complete","Invalid"))</f>
        <v>Complete</v>
      </c>
    </row>
    <row r="369" customFormat="false" ht="84" hidden="false" customHeight="true" outlineLevel="0" collapsed="false">
      <c r="A369" s="8" t="s">
        <v>707</v>
      </c>
      <c r="B369" s="8" t="s">
        <v>155</v>
      </c>
      <c r="C369" s="8" t="s">
        <v>156</v>
      </c>
      <c r="D369" s="8" t="s">
        <v>157</v>
      </c>
      <c r="E369" s="8" t="s">
        <v>195</v>
      </c>
      <c r="F369" s="8" t="s">
        <v>95</v>
      </c>
      <c r="G369" s="8" t="s">
        <v>196</v>
      </c>
      <c r="H369" s="9" t="s">
        <v>18</v>
      </c>
      <c r="I369" s="10"/>
      <c r="J369" s="11" t="n">
        <f aca="false">INT((ROW()-2)/50)+1</f>
        <v>8</v>
      </c>
      <c r="K369" s="11" t="str">
        <f aca="false">IF(H369="","Pending",IF(OR(H369="0",H369="1",H369="2",H369="U"),"Complete","Invalid"))</f>
        <v>Complete</v>
      </c>
    </row>
    <row r="370" customFormat="false" ht="84" hidden="false" customHeight="true" outlineLevel="0" collapsed="false">
      <c r="A370" s="8" t="s">
        <v>708</v>
      </c>
      <c r="B370" s="8" t="s">
        <v>232</v>
      </c>
      <c r="C370" s="8" t="s">
        <v>233</v>
      </c>
      <c r="D370" s="8" t="s">
        <v>234</v>
      </c>
      <c r="E370" s="8" t="s">
        <v>454</v>
      </c>
      <c r="F370" s="8" t="s">
        <v>380</v>
      </c>
      <c r="G370" s="8" t="s">
        <v>455</v>
      </c>
      <c r="H370" s="9" t="s">
        <v>18</v>
      </c>
      <c r="I370" s="10"/>
      <c r="J370" s="11" t="n">
        <f aca="false">INT((ROW()-2)/50)+1</f>
        <v>8</v>
      </c>
      <c r="K370" s="11" t="str">
        <f aca="false">IF(H370="","Pending",IF(OR(H370="0",H370="1",H370="2",H370="U"),"Complete","Invalid"))</f>
        <v>Complete</v>
      </c>
    </row>
    <row r="371" customFormat="false" ht="84" hidden="false" customHeight="true" outlineLevel="0" collapsed="false">
      <c r="A371" s="8" t="s">
        <v>709</v>
      </c>
      <c r="B371" s="8" t="s">
        <v>80</v>
      </c>
      <c r="C371" s="8" t="s">
        <v>81</v>
      </c>
      <c r="D371" s="8" t="s">
        <v>82</v>
      </c>
      <c r="E371" s="8" t="s">
        <v>475</v>
      </c>
      <c r="F371" s="8" t="s">
        <v>142</v>
      </c>
      <c r="G371" s="8" t="s">
        <v>476</v>
      </c>
      <c r="H371" s="9" t="s">
        <v>18</v>
      </c>
      <c r="I371" s="10"/>
      <c r="J371" s="11" t="n">
        <f aca="false">INT((ROW()-2)/50)+1</f>
        <v>8</v>
      </c>
      <c r="K371" s="11" t="str">
        <f aca="false">IF(H371="","Pending",IF(OR(H371="0",H371="1",H371="2",H371="U"),"Complete","Invalid"))</f>
        <v>Complete</v>
      </c>
    </row>
    <row r="372" customFormat="false" ht="84" hidden="false" customHeight="true" outlineLevel="0" collapsed="false">
      <c r="A372" s="8" t="s">
        <v>710</v>
      </c>
      <c r="B372" s="8" t="s">
        <v>34</v>
      </c>
      <c r="C372" s="8" t="s">
        <v>35</v>
      </c>
      <c r="D372" s="8" t="s">
        <v>36</v>
      </c>
      <c r="E372" s="8" t="s">
        <v>445</v>
      </c>
      <c r="F372" s="8" t="s">
        <v>84</v>
      </c>
      <c r="G372" s="8" t="s">
        <v>446</v>
      </c>
      <c r="H372" s="9" t="s">
        <v>18</v>
      </c>
      <c r="I372" s="10"/>
      <c r="J372" s="11" t="n">
        <f aca="false">INT((ROW()-2)/50)+1</f>
        <v>8</v>
      </c>
      <c r="K372" s="11" t="str">
        <f aca="false">IF(H372="","Pending",IF(OR(H372="0",H372="1",H372="2",H372="U"),"Complete","Invalid"))</f>
        <v>Complete</v>
      </c>
    </row>
    <row r="373" customFormat="false" ht="84" hidden="false" customHeight="true" outlineLevel="0" collapsed="false">
      <c r="A373" s="8" t="s">
        <v>711</v>
      </c>
      <c r="B373" s="8" t="s">
        <v>148</v>
      </c>
      <c r="C373" s="8" t="s">
        <v>149</v>
      </c>
      <c r="D373" s="8" t="s">
        <v>150</v>
      </c>
      <c r="E373" s="8" t="s">
        <v>712</v>
      </c>
      <c r="F373" s="8" t="s">
        <v>88</v>
      </c>
      <c r="G373" s="8" t="s">
        <v>713</v>
      </c>
      <c r="H373" s="9" t="s">
        <v>18</v>
      </c>
      <c r="I373" s="10" t="s">
        <v>153</v>
      </c>
      <c r="J373" s="11" t="n">
        <f aca="false">INT((ROW()-2)/50)+1</f>
        <v>8</v>
      </c>
      <c r="K373" s="11" t="str">
        <f aca="false">IF(H373="","Pending",IF(OR(H373="0",H373="1",H373="2",H373="U"),"Complete","Invalid"))</f>
        <v>Complete</v>
      </c>
    </row>
    <row r="374" customFormat="false" ht="84" hidden="false" customHeight="true" outlineLevel="0" collapsed="false">
      <c r="A374" s="8" t="s">
        <v>714</v>
      </c>
      <c r="B374" s="8" t="s">
        <v>98</v>
      </c>
      <c r="C374" s="8" t="s">
        <v>99</v>
      </c>
      <c r="D374" s="8" t="s">
        <v>100</v>
      </c>
      <c r="E374" s="8" t="s">
        <v>137</v>
      </c>
      <c r="F374" s="8" t="s">
        <v>138</v>
      </c>
      <c r="G374" s="8" t="s">
        <v>139</v>
      </c>
      <c r="H374" s="9" t="s">
        <v>132</v>
      </c>
      <c r="I374" s="10"/>
      <c r="J374" s="11" t="n">
        <f aca="false">INT((ROW()-2)/50)+1</f>
        <v>8</v>
      </c>
      <c r="K374" s="11" t="str">
        <f aca="false">IF(H374="","Pending",IF(OR(H374="0",H374="1",H374="2",H374="U"),"Complete","Invalid"))</f>
        <v>Complete</v>
      </c>
    </row>
    <row r="375" customFormat="false" ht="84" hidden="false" customHeight="true" outlineLevel="0" collapsed="false">
      <c r="A375" s="8" t="s">
        <v>715</v>
      </c>
      <c r="B375" s="8" t="s">
        <v>238</v>
      </c>
      <c r="C375" s="8" t="s">
        <v>239</v>
      </c>
      <c r="D375" s="8" t="s">
        <v>240</v>
      </c>
      <c r="E375" s="8" t="s">
        <v>459</v>
      </c>
      <c r="F375" s="8" t="s">
        <v>460</v>
      </c>
      <c r="G375" s="8" t="s">
        <v>461</v>
      </c>
      <c r="H375" s="9" t="s">
        <v>18</v>
      </c>
      <c r="I375" s="10"/>
      <c r="J375" s="11" t="n">
        <f aca="false">INT((ROW()-2)/50)+1</f>
        <v>8</v>
      </c>
      <c r="K375" s="11" t="str">
        <f aca="false">IF(H375="","Pending",IF(OR(H375="0",H375="1",H375="2",H375="U"),"Complete","Invalid"))</f>
        <v>Complete</v>
      </c>
    </row>
    <row r="376" customFormat="false" ht="84" hidden="false" customHeight="true" outlineLevel="0" collapsed="false">
      <c r="A376" s="8" t="s">
        <v>716</v>
      </c>
      <c r="B376" s="8" t="s">
        <v>223</v>
      </c>
      <c r="C376" s="8" t="s">
        <v>224</v>
      </c>
      <c r="D376" s="8" t="s">
        <v>225</v>
      </c>
      <c r="E376" s="8" t="s">
        <v>307</v>
      </c>
      <c r="F376" s="8" t="s">
        <v>31</v>
      </c>
      <c r="G376" s="8" t="s">
        <v>308</v>
      </c>
      <c r="H376" s="9" t="s">
        <v>18</v>
      </c>
      <c r="I376" s="10"/>
      <c r="J376" s="11" t="n">
        <f aca="false">INT((ROW()-2)/50)+1</f>
        <v>8</v>
      </c>
      <c r="K376" s="11" t="str">
        <f aca="false">IF(H376="","Pending",IF(OR(H376="0",H376="1",H376="2",H376="U"),"Complete","Invalid"))</f>
        <v>Complete</v>
      </c>
    </row>
    <row r="377" customFormat="false" ht="84" hidden="false" customHeight="true" outlineLevel="0" collapsed="false">
      <c r="A377" s="8" t="s">
        <v>717</v>
      </c>
      <c r="B377" s="8" t="s">
        <v>312</v>
      </c>
      <c r="C377" s="8" t="s">
        <v>313</v>
      </c>
      <c r="D377" s="8" t="s">
        <v>314</v>
      </c>
      <c r="E377" s="8" t="s">
        <v>375</v>
      </c>
      <c r="F377" s="8" t="s">
        <v>216</v>
      </c>
      <c r="G377" s="8" t="s">
        <v>376</v>
      </c>
      <c r="H377" s="9" t="s">
        <v>132</v>
      </c>
      <c r="I377" s="10"/>
      <c r="J377" s="11" t="n">
        <f aca="false">INT((ROW()-2)/50)+1</f>
        <v>8</v>
      </c>
      <c r="K377" s="11" t="str">
        <f aca="false">IF(H377="","Pending",IF(OR(H377="0",H377="1",H377="2",H377="U"),"Complete","Invalid"))</f>
        <v>Complete</v>
      </c>
    </row>
    <row r="378" customFormat="false" ht="84" hidden="false" customHeight="true" outlineLevel="0" collapsed="false">
      <c r="A378" s="8" t="s">
        <v>718</v>
      </c>
      <c r="B378" s="8" t="s">
        <v>123</v>
      </c>
      <c r="C378" s="8" t="s">
        <v>124</v>
      </c>
      <c r="D378" s="8" t="s">
        <v>125</v>
      </c>
      <c r="E378" s="8" t="s">
        <v>48</v>
      </c>
      <c r="F378" s="8" t="s">
        <v>24</v>
      </c>
      <c r="G378" s="8" t="s">
        <v>49</v>
      </c>
      <c r="H378" s="9" t="s">
        <v>18</v>
      </c>
      <c r="I378" s="10"/>
      <c r="J378" s="11" t="n">
        <f aca="false">INT((ROW()-2)/50)+1</f>
        <v>8</v>
      </c>
      <c r="K378" s="11" t="str">
        <f aca="false">IF(H378="","Pending",IF(OR(H378="0",H378="1",H378="2",H378="U"),"Complete","Invalid"))</f>
        <v>Complete</v>
      </c>
    </row>
    <row r="379" customFormat="false" ht="84" hidden="false" customHeight="true" outlineLevel="0" collapsed="false">
      <c r="A379" s="8" t="s">
        <v>719</v>
      </c>
      <c r="B379" s="8" t="s">
        <v>20</v>
      </c>
      <c r="C379" s="8" t="s">
        <v>21</v>
      </c>
      <c r="D379" s="8" t="s">
        <v>22</v>
      </c>
      <c r="E379" s="8" t="s">
        <v>54</v>
      </c>
      <c r="F379" s="8" t="s">
        <v>55</v>
      </c>
      <c r="G379" s="8" t="s">
        <v>56</v>
      </c>
      <c r="H379" s="9" t="s">
        <v>18</v>
      </c>
      <c r="I379" s="10"/>
      <c r="J379" s="11" t="n">
        <f aca="false">INT((ROW()-2)/50)+1</f>
        <v>8</v>
      </c>
      <c r="K379" s="11" t="str">
        <f aca="false">IF(H379="","Pending",IF(OR(H379="0",H379="1",H379="2",H379="U"),"Complete","Invalid"))</f>
        <v>Complete</v>
      </c>
    </row>
    <row r="380" customFormat="false" ht="84" hidden="false" customHeight="true" outlineLevel="0" collapsed="false">
      <c r="A380" s="8" t="s">
        <v>720</v>
      </c>
      <c r="B380" s="8" t="s">
        <v>232</v>
      </c>
      <c r="C380" s="8" t="s">
        <v>233</v>
      </c>
      <c r="D380" s="8" t="s">
        <v>234</v>
      </c>
      <c r="E380" s="8" t="s">
        <v>186</v>
      </c>
      <c r="F380" s="8" t="s">
        <v>73</v>
      </c>
      <c r="G380" s="8" t="s">
        <v>187</v>
      </c>
      <c r="H380" s="9" t="s">
        <v>114</v>
      </c>
      <c r="I380" s="10"/>
      <c r="J380" s="11" t="n">
        <f aca="false">INT((ROW()-2)/50)+1</f>
        <v>8</v>
      </c>
      <c r="K380" s="11" t="str">
        <f aca="false">IF(H380="","Pending",IF(OR(H380="0",H380="1",H380="2",H380="U"),"Complete","Invalid"))</f>
        <v>Complete</v>
      </c>
    </row>
    <row r="381" customFormat="false" ht="84" hidden="false" customHeight="true" outlineLevel="0" collapsed="false">
      <c r="A381" s="8" t="s">
        <v>721</v>
      </c>
      <c r="B381" s="8" t="s">
        <v>312</v>
      </c>
      <c r="C381" s="8" t="s">
        <v>313</v>
      </c>
      <c r="D381" s="8" t="s">
        <v>314</v>
      </c>
      <c r="E381" s="8" t="s">
        <v>559</v>
      </c>
      <c r="F381" s="8" t="s">
        <v>202</v>
      </c>
      <c r="G381" s="8" t="s">
        <v>560</v>
      </c>
      <c r="H381" s="9" t="s">
        <v>18</v>
      </c>
      <c r="I381" s="10"/>
      <c r="J381" s="11" t="n">
        <f aca="false">INT((ROW()-2)/50)+1</f>
        <v>8</v>
      </c>
      <c r="K381" s="11" t="str">
        <f aca="false">IF(H381="","Pending",IF(OR(H381="0",H381="1",H381="2",H381="U"),"Complete","Invalid"))</f>
        <v>Complete</v>
      </c>
    </row>
    <row r="382" customFormat="false" ht="84" hidden="false" customHeight="true" outlineLevel="0" collapsed="false">
      <c r="A382" s="8" t="s">
        <v>722</v>
      </c>
      <c r="B382" s="8" t="s">
        <v>198</v>
      </c>
      <c r="C382" s="8" t="s">
        <v>199</v>
      </c>
      <c r="D382" s="8" t="s">
        <v>200</v>
      </c>
      <c r="E382" s="8" t="s">
        <v>102</v>
      </c>
      <c r="F382" s="8" t="s">
        <v>66</v>
      </c>
      <c r="G382" s="8" t="s">
        <v>103</v>
      </c>
      <c r="H382" s="9" t="s">
        <v>18</v>
      </c>
      <c r="I382" s="10"/>
      <c r="J382" s="11" t="n">
        <f aca="false">INT((ROW()-2)/50)+1</f>
        <v>8</v>
      </c>
      <c r="K382" s="11" t="str">
        <f aca="false">IF(H382="","Pending",IF(OR(H382="0",H382="1",H382="2",H382="U"),"Complete","Invalid"))</f>
        <v>Complete</v>
      </c>
    </row>
    <row r="383" customFormat="false" ht="84" hidden="false" customHeight="true" outlineLevel="0" collapsed="false">
      <c r="A383" s="8" t="s">
        <v>723</v>
      </c>
      <c r="B383" s="8" t="s">
        <v>91</v>
      </c>
      <c r="C383" s="8" t="s">
        <v>92</v>
      </c>
      <c r="D383" s="8" t="s">
        <v>93</v>
      </c>
      <c r="E383" s="8" t="s">
        <v>327</v>
      </c>
      <c r="F383" s="8" t="s">
        <v>31</v>
      </c>
      <c r="G383" s="8" t="s">
        <v>328</v>
      </c>
      <c r="H383" s="9" t="s">
        <v>18</v>
      </c>
      <c r="I383" s="10"/>
      <c r="J383" s="11" t="n">
        <f aca="false">INT((ROW()-2)/50)+1</f>
        <v>8</v>
      </c>
      <c r="K383" s="11" t="str">
        <f aca="false">IF(H383="","Pending",IF(OR(H383="0",H383="1",H383="2",H383="U"),"Complete","Invalid"))</f>
        <v>Complete</v>
      </c>
    </row>
    <row r="384" customFormat="false" ht="84" hidden="false" customHeight="true" outlineLevel="0" collapsed="false">
      <c r="A384" s="8" t="s">
        <v>724</v>
      </c>
      <c r="B384" s="8" t="s">
        <v>34</v>
      </c>
      <c r="C384" s="8" t="s">
        <v>35</v>
      </c>
      <c r="D384" s="8" t="s">
        <v>36</v>
      </c>
      <c r="E384" s="8" t="s">
        <v>72</v>
      </c>
      <c r="F384" s="8" t="s">
        <v>73</v>
      </c>
      <c r="G384" s="8" t="s">
        <v>74</v>
      </c>
      <c r="H384" s="9" t="s">
        <v>18</v>
      </c>
      <c r="I384" s="10"/>
      <c r="J384" s="11" t="n">
        <f aca="false">INT((ROW()-2)/50)+1</f>
        <v>8</v>
      </c>
      <c r="K384" s="11" t="str">
        <f aca="false">IF(H384="","Pending",IF(OR(H384="0",H384="1",H384="2",H384="U"),"Complete","Invalid"))</f>
        <v>Complete</v>
      </c>
    </row>
    <row r="385" customFormat="false" ht="84" hidden="false" customHeight="true" outlineLevel="0" collapsed="false">
      <c r="A385" s="8" t="s">
        <v>725</v>
      </c>
      <c r="B385" s="8" t="s">
        <v>167</v>
      </c>
      <c r="C385" s="8" t="s">
        <v>168</v>
      </c>
      <c r="D385" s="8" t="s">
        <v>169</v>
      </c>
      <c r="E385" s="8" t="s">
        <v>275</v>
      </c>
      <c r="F385" s="8" t="s">
        <v>142</v>
      </c>
      <c r="G385" s="8" t="s">
        <v>276</v>
      </c>
      <c r="H385" s="9" t="s">
        <v>114</v>
      </c>
      <c r="I385" s="10"/>
      <c r="J385" s="11" t="n">
        <f aca="false">INT((ROW()-2)/50)+1</f>
        <v>8</v>
      </c>
      <c r="K385" s="11" t="str">
        <f aca="false">IF(H385="","Pending",IF(OR(H385="0",H385="1",H385="2",H385="U"),"Complete","Invalid"))</f>
        <v>Complete</v>
      </c>
    </row>
    <row r="386" customFormat="false" ht="84" hidden="false" customHeight="true" outlineLevel="0" collapsed="false">
      <c r="A386" s="8" t="s">
        <v>726</v>
      </c>
      <c r="B386" s="8" t="s">
        <v>91</v>
      </c>
      <c r="C386" s="8" t="s">
        <v>92</v>
      </c>
      <c r="D386" s="8" t="s">
        <v>93</v>
      </c>
      <c r="E386" s="8" t="s">
        <v>145</v>
      </c>
      <c r="F386" s="8" t="s">
        <v>95</v>
      </c>
      <c r="G386" s="8" t="s">
        <v>146</v>
      </c>
      <c r="H386" s="9" t="s">
        <v>18</v>
      </c>
      <c r="I386" s="10"/>
      <c r="J386" s="11" t="n">
        <f aca="false">INT((ROW()-2)/50)+1</f>
        <v>8</v>
      </c>
      <c r="K386" s="11" t="str">
        <f aca="false">IF(H386="","Pending",IF(OR(H386="0",H386="1",H386="2",H386="U"),"Complete","Invalid"))</f>
        <v>Complete</v>
      </c>
    </row>
    <row r="387" customFormat="false" ht="84" hidden="false" customHeight="true" outlineLevel="0" collapsed="false">
      <c r="A387" s="8" t="s">
        <v>727</v>
      </c>
      <c r="B387" s="8" t="s">
        <v>171</v>
      </c>
      <c r="C387" s="8" t="s">
        <v>172</v>
      </c>
      <c r="D387" s="8" t="s">
        <v>173</v>
      </c>
      <c r="E387" s="8" t="s">
        <v>195</v>
      </c>
      <c r="F387" s="8" t="s">
        <v>95</v>
      </c>
      <c r="G387" s="8" t="s">
        <v>196</v>
      </c>
      <c r="H387" s="9" t="s">
        <v>132</v>
      </c>
      <c r="I387" s="10"/>
      <c r="J387" s="11" t="n">
        <f aca="false">INT((ROW()-2)/50)+1</f>
        <v>8</v>
      </c>
      <c r="K387" s="11" t="str">
        <f aca="false">IF(H387="","Pending",IF(OR(H387="0",H387="1",H387="2",H387="U"),"Complete","Invalid"))</f>
        <v>Complete</v>
      </c>
    </row>
    <row r="388" customFormat="false" ht="84" hidden="false" customHeight="true" outlineLevel="0" collapsed="false">
      <c r="A388" s="8" t="s">
        <v>728</v>
      </c>
      <c r="B388" s="8" t="s">
        <v>20</v>
      </c>
      <c r="C388" s="8" t="s">
        <v>21</v>
      </c>
      <c r="D388" s="8" t="s">
        <v>22</v>
      </c>
      <c r="E388" s="8" t="s">
        <v>327</v>
      </c>
      <c r="F388" s="8" t="s">
        <v>31</v>
      </c>
      <c r="G388" s="8" t="s">
        <v>328</v>
      </c>
      <c r="H388" s="9" t="s">
        <v>18</v>
      </c>
      <c r="I388" s="10"/>
      <c r="J388" s="11" t="n">
        <f aca="false">INT((ROW()-2)/50)+1</f>
        <v>8</v>
      </c>
      <c r="K388" s="11" t="str">
        <f aca="false">IF(H388="","Pending",IF(OR(H388="0",H388="1",H388="2",H388="U"),"Complete","Invalid"))</f>
        <v>Complete</v>
      </c>
    </row>
    <row r="389" customFormat="false" ht="84" hidden="false" customHeight="true" outlineLevel="0" collapsed="false">
      <c r="A389" s="8" t="s">
        <v>729</v>
      </c>
      <c r="B389" s="8" t="s">
        <v>12</v>
      </c>
      <c r="C389" s="8" t="s">
        <v>13</v>
      </c>
      <c r="D389" s="8" t="s">
        <v>14</v>
      </c>
      <c r="E389" s="8" t="s">
        <v>182</v>
      </c>
      <c r="F389" s="8" t="s">
        <v>66</v>
      </c>
      <c r="G389" s="8" t="s">
        <v>183</v>
      </c>
      <c r="H389" s="9" t="s">
        <v>114</v>
      </c>
      <c r="I389" s="10"/>
      <c r="J389" s="11" t="n">
        <f aca="false">INT((ROW()-2)/50)+1</f>
        <v>8</v>
      </c>
      <c r="K389" s="11" t="str">
        <f aca="false">IF(H389="","Pending",IF(OR(H389="0",H389="1",H389="2",H389="U"),"Complete","Invalid"))</f>
        <v>Complete</v>
      </c>
    </row>
    <row r="390" customFormat="false" ht="84" hidden="false" customHeight="true" outlineLevel="0" collapsed="false">
      <c r="A390" s="8" t="s">
        <v>730</v>
      </c>
      <c r="B390" s="8" t="s">
        <v>20</v>
      </c>
      <c r="C390" s="8" t="s">
        <v>21</v>
      </c>
      <c r="D390" s="8" t="s">
        <v>22</v>
      </c>
      <c r="E390" s="8" t="s">
        <v>244</v>
      </c>
      <c r="F390" s="8" t="s">
        <v>245</v>
      </c>
      <c r="G390" s="8" t="s">
        <v>246</v>
      </c>
      <c r="H390" s="9" t="s">
        <v>18</v>
      </c>
      <c r="I390" s="10"/>
      <c r="J390" s="11" t="n">
        <f aca="false">INT((ROW()-2)/50)+1</f>
        <v>8</v>
      </c>
      <c r="K390" s="11" t="str">
        <f aca="false">IF(H390="","Pending",IF(OR(H390="0",H390="1",H390="2",H390="U"),"Complete","Invalid"))</f>
        <v>Complete</v>
      </c>
    </row>
    <row r="391" customFormat="false" ht="84" hidden="false" customHeight="true" outlineLevel="0" collapsed="false">
      <c r="A391" s="8" t="s">
        <v>731</v>
      </c>
      <c r="B391" s="8" t="s">
        <v>259</v>
      </c>
      <c r="C391" s="8" t="s">
        <v>260</v>
      </c>
      <c r="D391" s="8" t="s">
        <v>261</v>
      </c>
      <c r="E391" s="8" t="s">
        <v>120</v>
      </c>
      <c r="F391" s="8" t="s">
        <v>31</v>
      </c>
      <c r="G391" s="8" t="s">
        <v>121</v>
      </c>
      <c r="H391" s="9" t="s">
        <v>18</v>
      </c>
      <c r="I391" s="10"/>
      <c r="J391" s="11" t="n">
        <f aca="false">INT((ROW()-2)/50)+1</f>
        <v>8</v>
      </c>
      <c r="K391" s="11" t="str">
        <f aca="false">IF(H391="","Pending",IF(OR(H391="0",H391="1",H391="2",H391="U"),"Complete","Invalid"))</f>
        <v>Complete</v>
      </c>
    </row>
    <row r="392" customFormat="false" ht="84" hidden="false" customHeight="true" outlineLevel="0" collapsed="false">
      <c r="A392" s="8" t="s">
        <v>732</v>
      </c>
      <c r="B392" s="8" t="s">
        <v>223</v>
      </c>
      <c r="C392" s="8" t="s">
        <v>224</v>
      </c>
      <c r="D392" s="8" t="s">
        <v>225</v>
      </c>
      <c r="E392" s="8" t="s">
        <v>459</v>
      </c>
      <c r="F392" s="8" t="s">
        <v>460</v>
      </c>
      <c r="G392" s="8" t="s">
        <v>461</v>
      </c>
      <c r="H392" s="9" t="s">
        <v>18</v>
      </c>
      <c r="I392" s="10"/>
      <c r="J392" s="11" t="n">
        <f aca="false">INT((ROW()-2)/50)+1</f>
        <v>8</v>
      </c>
      <c r="K392" s="11" t="str">
        <f aca="false">IF(H392="","Pending",IF(OR(H392="0",H392="1",H392="2",H392="U"),"Complete","Invalid"))</f>
        <v>Complete</v>
      </c>
    </row>
    <row r="393" customFormat="false" ht="84" hidden="false" customHeight="true" outlineLevel="0" collapsed="false">
      <c r="A393" s="8" t="s">
        <v>733</v>
      </c>
      <c r="B393" s="8" t="s">
        <v>167</v>
      </c>
      <c r="C393" s="8" t="s">
        <v>168</v>
      </c>
      <c r="D393" s="8" t="s">
        <v>169</v>
      </c>
      <c r="E393" s="8" t="s">
        <v>383</v>
      </c>
      <c r="F393" s="8" t="s">
        <v>380</v>
      </c>
      <c r="G393" s="8" t="s">
        <v>384</v>
      </c>
      <c r="H393" s="9" t="s">
        <v>132</v>
      </c>
      <c r="I393" s="10"/>
      <c r="J393" s="11" t="n">
        <f aca="false">INT((ROW()-2)/50)+1</f>
        <v>8</v>
      </c>
      <c r="K393" s="11" t="str">
        <f aca="false">IF(H393="","Pending",IF(OR(H393="0",H393="1",H393="2",H393="U"),"Complete","Invalid"))</f>
        <v>Complete</v>
      </c>
    </row>
    <row r="394" customFormat="false" ht="84" hidden="false" customHeight="true" outlineLevel="0" collapsed="false">
      <c r="A394" s="8" t="s">
        <v>734</v>
      </c>
      <c r="B394" s="8" t="s">
        <v>20</v>
      </c>
      <c r="C394" s="8" t="s">
        <v>21</v>
      </c>
      <c r="D394" s="8" t="s">
        <v>22</v>
      </c>
      <c r="E394" s="8" t="s">
        <v>290</v>
      </c>
      <c r="F394" s="8" t="s">
        <v>55</v>
      </c>
      <c r="G394" s="8" t="s">
        <v>291</v>
      </c>
      <c r="H394" s="9" t="s">
        <v>18</v>
      </c>
      <c r="I394" s="10"/>
      <c r="J394" s="11" t="n">
        <f aca="false">INT((ROW()-2)/50)+1</f>
        <v>8</v>
      </c>
      <c r="K394" s="11" t="str">
        <f aca="false">IF(H394="","Pending",IF(OR(H394="0",H394="1",H394="2",H394="U"),"Complete","Invalid"))</f>
        <v>Complete</v>
      </c>
    </row>
    <row r="395" customFormat="false" ht="84" hidden="false" customHeight="true" outlineLevel="0" collapsed="false">
      <c r="A395" s="8" t="s">
        <v>735</v>
      </c>
      <c r="B395" s="8" t="s">
        <v>155</v>
      </c>
      <c r="C395" s="8" t="s">
        <v>156</v>
      </c>
      <c r="D395" s="8" t="s">
        <v>157</v>
      </c>
      <c r="E395" s="8" t="s">
        <v>336</v>
      </c>
      <c r="F395" s="8" t="s">
        <v>55</v>
      </c>
      <c r="G395" s="8" t="s">
        <v>337</v>
      </c>
      <c r="H395" s="9" t="s">
        <v>114</v>
      </c>
      <c r="I395" s="10"/>
      <c r="J395" s="11" t="n">
        <f aca="false">INT((ROW()-2)/50)+1</f>
        <v>8</v>
      </c>
      <c r="K395" s="11" t="str">
        <f aca="false">IF(H395="","Pending",IF(OR(H395="0",H395="1",H395="2",H395="U"),"Complete","Invalid"))</f>
        <v>Complete</v>
      </c>
    </row>
    <row r="396" customFormat="false" ht="84" hidden="false" customHeight="true" outlineLevel="0" collapsed="false">
      <c r="A396" s="8" t="s">
        <v>736</v>
      </c>
      <c r="B396" s="8" t="s">
        <v>41</v>
      </c>
      <c r="C396" s="8" t="s">
        <v>42</v>
      </c>
      <c r="D396" s="8" t="s">
        <v>43</v>
      </c>
      <c r="E396" s="8" t="s">
        <v>536</v>
      </c>
      <c r="F396" s="8" t="s">
        <v>109</v>
      </c>
      <c r="G396" s="8" t="s">
        <v>537</v>
      </c>
      <c r="H396" s="9" t="s">
        <v>132</v>
      </c>
      <c r="I396" s="10"/>
      <c r="J396" s="11" t="n">
        <f aca="false">INT((ROW()-2)/50)+1</f>
        <v>8</v>
      </c>
      <c r="K396" s="11" t="str">
        <f aca="false">IF(H396="","Pending",IF(OR(H396="0",H396="1",H396="2",H396="U"),"Complete","Invalid"))</f>
        <v>Complete</v>
      </c>
    </row>
    <row r="397" customFormat="false" ht="84" hidden="false" customHeight="true" outlineLevel="0" collapsed="false">
      <c r="A397" s="8" t="s">
        <v>737</v>
      </c>
      <c r="B397" s="8" t="s">
        <v>80</v>
      </c>
      <c r="C397" s="8" t="s">
        <v>81</v>
      </c>
      <c r="D397" s="8" t="s">
        <v>82</v>
      </c>
      <c r="E397" s="8" t="s">
        <v>126</v>
      </c>
      <c r="F397" s="8" t="s">
        <v>73</v>
      </c>
      <c r="G397" s="8" t="s">
        <v>127</v>
      </c>
      <c r="H397" s="9" t="s">
        <v>132</v>
      </c>
      <c r="I397" s="10"/>
      <c r="J397" s="11" t="n">
        <f aca="false">INT((ROW()-2)/50)+1</f>
        <v>8</v>
      </c>
      <c r="K397" s="11" t="str">
        <f aca="false">IF(H397="","Pending",IF(OR(H397="0",H397="1",H397="2",H397="U"),"Complete","Invalid"))</f>
        <v>Complete</v>
      </c>
    </row>
    <row r="398" customFormat="false" ht="84" hidden="false" customHeight="true" outlineLevel="0" collapsed="false">
      <c r="A398" s="8" t="s">
        <v>738</v>
      </c>
      <c r="B398" s="8" t="s">
        <v>76</v>
      </c>
      <c r="C398" s="8" t="s">
        <v>77</v>
      </c>
      <c r="D398" s="8" t="s">
        <v>78</v>
      </c>
      <c r="E398" s="8" t="s">
        <v>30</v>
      </c>
      <c r="F398" s="8" t="s">
        <v>31</v>
      </c>
      <c r="G398" s="8" t="s">
        <v>32</v>
      </c>
      <c r="H398" s="9" t="s">
        <v>18</v>
      </c>
      <c r="I398" s="10"/>
      <c r="J398" s="11" t="n">
        <f aca="false">INT((ROW()-2)/50)+1</f>
        <v>8</v>
      </c>
      <c r="K398" s="11" t="str">
        <f aca="false">IF(H398="","Pending",IF(OR(H398="0",H398="1",H398="2",H398="U"),"Complete","Invalid"))</f>
        <v>Complete</v>
      </c>
    </row>
    <row r="399" customFormat="false" ht="84" hidden="false" customHeight="true" outlineLevel="0" collapsed="false">
      <c r="A399" s="8" t="s">
        <v>739</v>
      </c>
      <c r="B399" s="8" t="s">
        <v>209</v>
      </c>
      <c r="C399" s="8" t="s">
        <v>210</v>
      </c>
      <c r="D399" s="8" t="s">
        <v>211</v>
      </c>
      <c r="E399" s="8" t="s">
        <v>356</v>
      </c>
      <c r="F399" s="8" t="s">
        <v>66</v>
      </c>
      <c r="G399" s="8" t="s">
        <v>357</v>
      </c>
      <c r="H399" s="9" t="s">
        <v>18</v>
      </c>
      <c r="I399" s="10" t="s">
        <v>740</v>
      </c>
      <c r="J399" s="11" t="n">
        <f aca="false">INT((ROW()-2)/50)+1</f>
        <v>8</v>
      </c>
      <c r="K399" s="11" t="str">
        <f aca="false">IF(H399="","Pending",IF(OR(H399="0",H399="1",H399="2",H399="U"),"Complete","Invalid"))</f>
        <v>Complete</v>
      </c>
    </row>
    <row r="400" customFormat="false" ht="84" hidden="false" customHeight="true" outlineLevel="0" collapsed="false">
      <c r="A400" s="8" t="s">
        <v>741</v>
      </c>
      <c r="B400" s="8" t="s">
        <v>171</v>
      </c>
      <c r="C400" s="8" t="s">
        <v>172</v>
      </c>
      <c r="D400" s="8" t="s">
        <v>173</v>
      </c>
      <c r="E400" s="8" t="s">
        <v>235</v>
      </c>
      <c r="F400" s="8" t="s">
        <v>16</v>
      </c>
      <c r="G400" s="8" t="s">
        <v>236</v>
      </c>
      <c r="H400" s="9" t="s">
        <v>18</v>
      </c>
      <c r="I400" s="10"/>
      <c r="J400" s="11" t="n">
        <f aca="false">INT((ROW()-2)/50)+1</f>
        <v>8</v>
      </c>
      <c r="K400" s="11" t="str">
        <f aca="false">IF(H400="","Pending",IF(OR(H400="0",H400="1",H400="2",H400="U"),"Complete","Invalid"))</f>
        <v>Complete</v>
      </c>
    </row>
    <row r="401" customFormat="false" ht="84" hidden="false" customHeight="true" outlineLevel="0" collapsed="false">
      <c r="A401" s="8" t="s">
        <v>742</v>
      </c>
      <c r="B401" s="8" t="s">
        <v>51</v>
      </c>
      <c r="C401" s="8" t="s">
        <v>52</v>
      </c>
      <c r="D401" s="8" t="s">
        <v>53</v>
      </c>
      <c r="E401" s="8" t="s">
        <v>356</v>
      </c>
      <c r="F401" s="8" t="s">
        <v>66</v>
      </c>
      <c r="G401" s="8" t="s">
        <v>357</v>
      </c>
      <c r="H401" s="9" t="s">
        <v>18</v>
      </c>
      <c r="I401" s="10"/>
      <c r="J401" s="11" t="n">
        <f aca="false">INT((ROW()-2)/50)+1</f>
        <v>8</v>
      </c>
      <c r="K401" s="11" t="str">
        <f aca="false">IF(H401="","Pending",IF(OR(H401="0",H401="1",H401="2",H401="U"),"Complete","Invalid"))</f>
        <v>Complete</v>
      </c>
    </row>
    <row r="402" customFormat="false" ht="84" hidden="false" customHeight="true" outlineLevel="0" collapsed="false">
      <c r="A402" s="8" t="s">
        <v>743</v>
      </c>
      <c r="B402" s="8" t="s">
        <v>123</v>
      </c>
      <c r="C402" s="8" t="s">
        <v>124</v>
      </c>
      <c r="D402" s="8" t="s">
        <v>125</v>
      </c>
      <c r="E402" s="8" t="s">
        <v>268</v>
      </c>
      <c r="F402" s="8" t="s">
        <v>84</v>
      </c>
      <c r="G402" s="8" t="s">
        <v>269</v>
      </c>
      <c r="H402" s="9" t="s">
        <v>18</v>
      </c>
      <c r="I402" s="10"/>
      <c r="J402" s="11" t="n">
        <f aca="false">INT((ROW()-2)/50)+1</f>
        <v>9</v>
      </c>
      <c r="K402" s="11" t="str">
        <f aca="false">IF(H402="","Pending",IF(OR(H402="0",H402="1",H402="2",H402="U"),"Complete","Invalid"))</f>
        <v>Complete</v>
      </c>
    </row>
    <row r="403" customFormat="false" ht="84" hidden="false" customHeight="true" outlineLevel="0" collapsed="false">
      <c r="A403" s="8" t="s">
        <v>744</v>
      </c>
      <c r="B403" s="8" t="s">
        <v>167</v>
      </c>
      <c r="C403" s="8" t="s">
        <v>168</v>
      </c>
      <c r="D403" s="8" t="s">
        <v>169</v>
      </c>
      <c r="E403" s="8" t="s">
        <v>712</v>
      </c>
      <c r="F403" s="8" t="s">
        <v>88</v>
      </c>
      <c r="G403" s="8" t="s">
        <v>713</v>
      </c>
      <c r="H403" s="9" t="s">
        <v>132</v>
      </c>
      <c r="I403" s="10"/>
      <c r="J403" s="11" t="n">
        <f aca="false">INT((ROW()-2)/50)+1</f>
        <v>9</v>
      </c>
      <c r="K403" s="11" t="str">
        <f aca="false">IF(H403="","Pending",IF(OR(H403="0",H403="1",H403="2",H403="U"),"Complete","Invalid"))</f>
        <v>Complete</v>
      </c>
    </row>
    <row r="404" customFormat="false" ht="84" hidden="false" customHeight="true" outlineLevel="0" collapsed="false">
      <c r="A404" s="8" t="s">
        <v>745</v>
      </c>
      <c r="B404" s="8" t="s">
        <v>341</v>
      </c>
      <c r="C404" s="8" t="s">
        <v>342</v>
      </c>
      <c r="D404" s="8" t="s">
        <v>343</v>
      </c>
      <c r="E404" s="8" t="s">
        <v>87</v>
      </c>
      <c r="F404" s="8" t="s">
        <v>88</v>
      </c>
      <c r="G404" s="8" t="s">
        <v>89</v>
      </c>
      <c r="H404" s="9" t="s">
        <v>132</v>
      </c>
      <c r="I404" s="10"/>
      <c r="J404" s="11" t="n">
        <f aca="false">INT((ROW()-2)/50)+1</f>
        <v>9</v>
      </c>
      <c r="K404" s="11" t="str">
        <f aca="false">IF(H404="","Pending",IF(OR(H404="0",H404="1",H404="2",H404="U"),"Complete","Invalid"))</f>
        <v>Complete</v>
      </c>
    </row>
    <row r="405" customFormat="false" ht="84" hidden="false" customHeight="true" outlineLevel="0" collapsed="false">
      <c r="A405" s="8" t="s">
        <v>746</v>
      </c>
      <c r="B405" s="8" t="s">
        <v>123</v>
      </c>
      <c r="C405" s="8" t="s">
        <v>124</v>
      </c>
      <c r="D405" s="8" t="s">
        <v>125</v>
      </c>
      <c r="E405" s="8" t="s">
        <v>205</v>
      </c>
      <c r="F405" s="8" t="s">
        <v>38</v>
      </c>
      <c r="G405" s="8" t="s">
        <v>206</v>
      </c>
      <c r="H405" s="9" t="s">
        <v>18</v>
      </c>
      <c r="I405" s="10"/>
      <c r="J405" s="11" t="n">
        <f aca="false">INT((ROW()-2)/50)+1</f>
        <v>9</v>
      </c>
      <c r="K405" s="11" t="str">
        <f aca="false">IF(H405="","Pending",IF(OR(H405="0",H405="1",H405="2",H405="U"),"Complete","Invalid"))</f>
        <v>Complete</v>
      </c>
    </row>
    <row r="406" customFormat="false" ht="84" hidden="false" customHeight="true" outlineLevel="0" collapsed="false">
      <c r="A406" s="8" t="s">
        <v>747</v>
      </c>
      <c r="B406" s="8" t="s">
        <v>123</v>
      </c>
      <c r="C406" s="8" t="s">
        <v>124</v>
      </c>
      <c r="D406" s="8" t="s">
        <v>125</v>
      </c>
      <c r="E406" s="8" t="s">
        <v>137</v>
      </c>
      <c r="F406" s="8" t="s">
        <v>138</v>
      </c>
      <c r="G406" s="8" t="s">
        <v>139</v>
      </c>
      <c r="H406" s="9" t="s">
        <v>132</v>
      </c>
      <c r="I406" s="10"/>
      <c r="J406" s="11" t="n">
        <f aca="false">INT((ROW()-2)/50)+1</f>
        <v>9</v>
      </c>
      <c r="K406" s="11" t="str">
        <f aca="false">IF(H406="","Pending",IF(OR(H406="0",H406="1",H406="2",H406="U"),"Complete","Invalid"))</f>
        <v>Complete</v>
      </c>
    </row>
    <row r="407" customFormat="false" ht="84" hidden="false" customHeight="true" outlineLevel="0" collapsed="false">
      <c r="A407" s="8" t="s">
        <v>748</v>
      </c>
      <c r="B407" s="8" t="s">
        <v>34</v>
      </c>
      <c r="C407" s="8" t="s">
        <v>35</v>
      </c>
      <c r="D407" s="8" t="s">
        <v>36</v>
      </c>
      <c r="E407" s="8" t="s">
        <v>637</v>
      </c>
      <c r="F407" s="8" t="s">
        <v>138</v>
      </c>
      <c r="G407" s="8" t="s">
        <v>638</v>
      </c>
      <c r="H407" s="9" t="s">
        <v>114</v>
      </c>
      <c r="I407" s="10"/>
      <c r="J407" s="11" t="n">
        <f aca="false">INT((ROW()-2)/50)+1</f>
        <v>9</v>
      </c>
      <c r="K407" s="11" t="str">
        <f aca="false">IF(H407="","Pending",IF(OR(H407="0",H407="1",H407="2",H407="U"),"Complete","Invalid"))</f>
        <v>Complete</v>
      </c>
    </row>
    <row r="408" customFormat="false" ht="84" hidden="false" customHeight="true" outlineLevel="0" collapsed="false">
      <c r="A408" s="8" t="s">
        <v>749</v>
      </c>
      <c r="B408" s="8" t="s">
        <v>105</v>
      </c>
      <c r="C408" s="8" t="s">
        <v>106</v>
      </c>
      <c r="D408" s="8" t="s">
        <v>107</v>
      </c>
      <c r="E408" s="8" t="s">
        <v>186</v>
      </c>
      <c r="F408" s="8" t="s">
        <v>73</v>
      </c>
      <c r="G408" s="8" t="s">
        <v>187</v>
      </c>
      <c r="H408" s="9" t="s">
        <v>18</v>
      </c>
      <c r="I408" s="10"/>
      <c r="J408" s="11" t="n">
        <f aca="false">INT((ROW()-2)/50)+1</f>
        <v>9</v>
      </c>
      <c r="K408" s="11" t="str">
        <f aca="false">IF(H408="","Pending",IF(OR(H408="0",H408="1",H408="2",H408="U"),"Complete","Invalid"))</f>
        <v>Complete</v>
      </c>
    </row>
    <row r="409" customFormat="false" ht="84" hidden="false" customHeight="true" outlineLevel="0" collapsed="false">
      <c r="A409" s="8" t="s">
        <v>750</v>
      </c>
      <c r="B409" s="8" t="s">
        <v>34</v>
      </c>
      <c r="C409" s="8" t="s">
        <v>35</v>
      </c>
      <c r="D409" s="8" t="s">
        <v>36</v>
      </c>
      <c r="E409" s="8" t="s">
        <v>164</v>
      </c>
      <c r="F409" s="8" t="s">
        <v>73</v>
      </c>
      <c r="G409" s="8" t="s">
        <v>165</v>
      </c>
      <c r="H409" s="9" t="s">
        <v>18</v>
      </c>
      <c r="I409" s="10"/>
      <c r="J409" s="11" t="n">
        <f aca="false">INT((ROW()-2)/50)+1</f>
        <v>9</v>
      </c>
      <c r="K409" s="11" t="str">
        <f aca="false">IF(H409="","Pending",IF(OR(H409="0",H409="1",H409="2",H409="U"),"Complete","Invalid"))</f>
        <v>Complete</v>
      </c>
    </row>
    <row r="410" customFormat="false" ht="84" hidden="false" customHeight="true" outlineLevel="0" collapsed="false">
      <c r="A410" s="8" t="s">
        <v>751</v>
      </c>
      <c r="B410" s="8" t="s">
        <v>155</v>
      </c>
      <c r="C410" s="8" t="s">
        <v>156</v>
      </c>
      <c r="D410" s="8" t="s">
        <v>157</v>
      </c>
      <c r="E410" s="8" t="s">
        <v>459</v>
      </c>
      <c r="F410" s="8" t="s">
        <v>460</v>
      </c>
      <c r="G410" s="8" t="s">
        <v>461</v>
      </c>
      <c r="H410" s="9" t="s">
        <v>18</v>
      </c>
      <c r="I410" s="10"/>
      <c r="J410" s="11" t="n">
        <f aca="false">INT((ROW()-2)/50)+1</f>
        <v>9</v>
      </c>
      <c r="K410" s="11" t="str">
        <f aca="false">IF(H410="","Pending",IF(OR(H410="0",H410="1",H410="2",H410="U"),"Complete","Invalid"))</f>
        <v>Complete</v>
      </c>
    </row>
    <row r="411" customFormat="false" ht="84" hidden="false" customHeight="true" outlineLevel="0" collapsed="false">
      <c r="A411" s="8" t="s">
        <v>752</v>
      </c>
      <c r="B411" s="8" t="s">
        <v>299</v>
      </c>
      <c r="C411" s="8" t="s">
        <v>300</v>
      </c>
      <c r="D411" s="8" t="s">
        <v>301</v>
      </c>
      <c r="E411" s="8" t="s">
        <v>72</v>
      </c>
      <c r="F411" s="8" t="s">
        <v>73</v>
      </c>
      <c r="G411" s="8" t="s">
        <v>74</v>
      </c>
      <c r="H411" s="9" t="s">
        <v>18</v>
      </c>
      <c r="I411" s="10"/>
      <c r="J411" s="11" t="n">
        <f aca="false">INT((ROW()-2)/50)+1</f>
        <v>9</v>
      </c>
      <c r="K411" s="11" t="str">
        <f aca="false">IF(H411="","Pending",IF(OR(H411="0",H411="1",H411="2",H411="U"),"Complete","Invalid"))</f>
        <v>Complete</v>
      </c>
    </row>
    <row r="412" customFormat="false" ht="84" hidden="false" customHeight="true" outlineLevel="0" collapsed="false">
      <c r="A412" s="8" t="s">
        <v>753</v>
      </c>
      <c r="B412" s="8" t="s">
        <v>248</v>
      </c>
      <c r="C412" s="8" t="s">
        <v>249</v>
      </c>
      <c r="D412" s="8" t="s">
        <v>250</v>
      </c>
      <c r="E412" s="8" t="s">
        <v>459</v>
      </c>
      <c r="F412" s="8" t="s">
        <v>460</v>
      </c>
      <c r="G412" s="8" t="s">
        <v>461</v>
      </c>
      <c r="H412" s="9" t="s">
        <v>132</v>
      </c>
      <c r="I412" s="10"/>
      <c r="J412" s="11" t="n">
        <f aca="false">INT((ROW()-2)/50)+1</f>
        <v>9</v>
      </c>
      <c r="K412" s="11" t="str">
        <f aca="false">IF(H412="","Pending",IF(OR(H412="0",H412="1",H412="2",H412="U"),"Complete","Invalid"))</f>
        <v>Complete</v>
      </c>
    </row>
    <row r="413" customFormat="false" ht="84" hidden="false" customHeight="true" outlineLevel="0" collapsed="false">
      <c r="A413" s="8" t="s">
        <v>754</v>
      </c>
      <c r="B413" s="8" t="s">
        <v>51</v>
      </c>
      <c r="C413" s="8" t="s">
        <v>52</v>
      </c>
      <c r="D413" s="8" t="s">
        <v>53</v>
      </c>
      <c r="E413" s="8" t="s">
        <v>116</v>
      </c>
      <c r="F413" s="8" t="s">
        <v>117</v>
      </c>
      <c r="G413" s="8" t="s">
        <v>118</v>
      </c>
      <c r="H413" s="9" t="s">
        <v>18</v>
      </c>
      <c r="I413" s="10"/>
      <c r="J413" s="11" t="n">
        <f aca="false">INT((ROW()-2)/50)+1</f>
        <v>9</v>
      </c>
      <c r="K413" s="11" t="str">
        <f aca="false">IF(H413="","Pending",IF(OR(H413="0",H413="1",H413="2",H413="U"),"Complete","Invalid"))</f>
        <v>Complete</v>
      </c>
    </row>
    <row r="414" customFormat="false" ht="84" hidden="false" customHeight="true" outlineLevel="0" collapsed="false">
      <c r="A414" s="8" t="s">
        <v>755</v>
      </c>
      <c r="B414" s="8" t="s">
        <v>58</v>
      </c>
      <c r="C414" s="8" t="s">
        <v>59</v>
      </c>
      <c r="D414" s="8" t="s">
        <v>60</v>
      </c>
      <c r="E414" s="8" t="s">
        <v>459</v>
      </c>
      <c r="F414" s="8" t="s">
        <v>460</v>
      </c>
      <c r="G414" s="8" t="s">
        <v>461</v>
      </c>
      <c r="H414" s="9" t="s">
        <v>132</v>
      </c>
      <c r="I414" s="10"/>
      <c r="J414" s="11" t="n">
        <f aca="false">INT((ROW()-2)/50)+1</f>
        <v>9</v>
      </c>
      <c r="K414" s="11" t="str">
        <f aca="false">IF(H414="","Pending",IF(OR(H414="0",H414="1",H414="2",H414="U"),"Complete","Invalid"))</f>
        <v>Complete</v>
      </c>
    </row>
    <row r="415" customFormat="false" ht="84" hidden="false" customHeight="true" outlineLevel="0" collapsed="false">
      <c r="A415" s="8" t="s">
        <v>756</v>
      </c>
      <c r="B415" s="8" t="s">
        <v>271</v>
      </c>
      <c r="C415" s="8" t="s">
        <v>272</v>
      </c>
      <c r="D415" s="8" t="s">
        <v>273</v>
      </c>
      <c r="E415" s="8" t="s">
        <v>356</v>
      </c>
      <c r="F415" s="8" t="s">
        <v>66</v>
      </c>
      <c r="G415" s="8" t="s">
        <v>357</v>
      </c>
      <c r="H415" s="9" t="s">
        <v>18</v>
      </c>
      <c r="I415" s="10"/>
      <c r="J415" s="11" t="n">
        <f aca="false">INT((ROW()-2)/50)+1</f>
        <v>9</v>
      </c>
      <c r="K415" s="11" t="str">
        <f aca="false">IF(H415="","Pending",IF(OR(H415="0",H415="1",H415="2",H415="U"),"Complete","Invalid"))</f>
        <v>Complete</v>
      </c>
    </row>
    <row r="416" customFormat="false" ht="84" hidden="false" customHeight="true" outlineLevel="0" collapsed="false">
      <c r="A416" s="8" t="s">
        <v>757</v>
      </c>
      <c r="B416" s="8" t="s">
        <v>148</v>
      </c>
      <c r="C416" s="8" t="s">
        <v>149</v>
      </c>
      <c r="D416" s="8" t="s">
        <v>150</v>
      </c>
      <c r="E416" s="8" t="s">
        <v>539</v>
      </c>
      <c r="F416" s="8" t="s">
        <v>380</v>
      </c>
      <c r="G416" s="8" t="s">
        <v>540</v>
      </c>
      <c r="H416" s="9" t="s">
        <v>132</v>
      </c>
      <c r="I416" s="10" t="s">
        <v>758</v>
      </c>
      <c r="J416" s="11" t="n">
        <f aca="false">INT((ROW()-2)/50)+1</f>
        <v>9</v>
      </c>
      <c r="K416" s="11" t="str">
        <f aca="false">IF(H416="","Pending",IF(OR(H416="0",H416="1",H416="2",H416="U"),"Complete","Invalid"))</f>
        <v>Complete</v>
      </c>
    </row>
    <row r="417" customFormat="false" ht="84" hidden="false" customHeight="true" outlineLevel="0" collapsed="false">
      <c r="A417" s="8" t="s">
        <v>759</v>
      </c>
      <c r="B417" s="8" t="s">
        <v>209</v>
      </c>
      <c r="C417" s="8" t="s">
        <v>210</v>
      </c>
      <c r="D417" s="8" t="s">
        <v>211</v>
      </c>
      <c r="E417" s="8" t="s">
        <v>522</v>
      </c>
      <c r="F417" s="8" t="s">
        <v>24</v>
      </c>
      <c r="G417" s="8" t="s">
        <v>523</v>
      </c>
      <c r="H417" s="9" t="s">
        <v>18</v>
      </c>
      <c r="I417" s="10"/>
      <c r="J417" s="11" t="n">
        <f aca="false">INT((ROW()-2)/50)+1</f>
        <v>9</v>
      </c>
      <c r="K417" s="11" t="str">
        <f aca="false">IF(H417="","Pending",IF(OR(H417="0",H417="1",H417="2",H417="U"),"Complete","Invalid"))</f>
        <v>Complete</v>
      </c>
    </row>
    <row r="418" customFormat="false" ht="84" hidden="false" customHeight="true" outlineLevel="0" collapsed="false">
      <c r="A418" s="8" t="s">
        <v>760</v>
      </c>
      <c r="B418" s="8" t="s">
        <v>299</v>
      </c>
      <c r="C418" s="8" t="s">
        <v>300</v>
      </c>
      <c r="D418" s="8" t="s">
        <v>301</v>
      </c>
      <c r="E418" s="8" t="s">
        <v>498</v>
      </c>
      <c r="F418" s="8" t="s">
        <v>62</v>
      </c>
      <c r="G418" s="8" t="s">
        <v>499</v>
      </c>
      <c r="H418" s="9" t="s">
        <v>114</v>
      </c>
      <c r="I418" s="10"/>
      <c r="J418" s="11" t="n">
        <f aca="false">INT((ROW()-2)/50)+1</f>
        <v>9</v>
      </c>
      <c r="K418" s="11" t="str">
        <f aca="false">IF(H418="","Pending",IF(OR(H418="0",H418="1",H418="2",H418="U"),"Complete","Invalid"))</f>
        <v>Complete</v>
      </c>
    </row>
    <row r="419" customFormat="false" ht="84" hidden="false" customHeight="true" outlineLevel="0" collapsed="false">
      <c r="A419" s="8" t="s">
        <v>761</v>
      </c>
      <c r="B419" s="8" t="s">
        <v>341</v>
      </c>
      <c r="C419" s="8" t="s">
        <v>342</v>
      </c>
      <c r="D419" s="8" t="s">
        <v>343</v>
      </c>
      <c r="E419" s="8" t="s">
        <v>151</v>
      </c>
      <c r="F419" s="8" t="s">
        <v>88</v>
      </c>
      <c r="G419" s="8" t="s">
        <v>152</v>
      </c>
      <c r="H419" s="9" t="s">
        <v>132</v>
      </c>
      <c r="I419" s="10"/>
      <c r="J419" s="11" t="n">
        <f aca="false">INT((ROW()-2)/50)+1</f>
        <v>9</v>
      </c>
      <c r="K419" s="11" t="str">
        <f aca="false">IF(H419="","Pending",IF(OR(H419="0",H419="1",H419="2",H419="U"),"Complete","Invalid"))</f>
        <v>Complete</v>
      </c>
    </row>
    <row r="420" customFormat="false" ht="84" hidden="false" customHeight="true" outlineLevel="0" collapsed="false">
      <c r="A420" s="8" t="s">
        <v>762</v>
      </c>
      <c r="B420" s="8" t="s">
        <v>238</v>
      </c>
      <c r="C420" s="8" t="s">
        <v>239</v>
      </c>
      <c r="D420" s="8" t="s">
        <v>240</v>
      </c>
      <c r="E420" s="8" t="s">
        <v>227</v>
      </c>
      <c r="F420" s="8" t="s">
        <v>216</v>
      </c>
      <c r="G420" s="8" t="s">
        <v>228</v>
      </c>
      <c r="H420" s="9" t="s">
        <v>18</v>
      </c>
      <c r="I420" s="10"/>
      <c r="J420" s="11" t="n">
        <f aca="false">INT((ROW()-2)/50)+1</f>
        <v>9</v>
      </c>
      <c r="K420" s="11" t="str">
        <f aca="false">IF(H420="","Pending",IF(OR(H420="0",H420="1",H420="2",H420="U"),"Complete","Invalid"))</f>
        <v>Complete</v>
      </c>
    </row>
    <row r="421" customFormat="false" ht="84" hidden="false" customHeight="true" outlineLevel="0" collapsed="false">
      <c r="A421" s="8" t="s">
        <v>763</v>
      </c>
      <c r="B421" s="8" t="s">
        <v>69</v>
      </c>
      <c r="C421" s="8" t="s">
        <v>70</v>
      </c>
      <c r="D421" s="8" t="s">
        <v>71</v>
      </c>
      <c r="E421" s="8" t="s">
        <v>158</v>
      </c>
      <c r="F421" s="8" t="s">
        <v>38</v>
      </c>
      <c r="G421" s="8" t="s">
        <v>159</v>
      </c>
      <c r="H421" s="9" t="s">
        <v>18</v>
      </c>
      <c r="I421" s="10"/>
      <c r="J421" s="11" t="n">
        <f aca="false">INT((ROW()-2)/50)+1</f>
        <v>9</v>
      </c>
      <c r="K421" s="11" t="str">
        <f aca="false">IF(H421="","Pending",IF(OR(H421="0",H421="1",H421="2",H421="U"),"Complete","Invalid"))</f>
        <v>Complete</v>
      </c>
    </row>
    <row r="422" customFormat="false" ht="84" hidden="false" customHeight="true" outlineLevel="0" collapsed="false">
      <c r="A422" s="8" t="s">
        <v>764</v>
      </c>
      <c r="B422" s="8" t="s">
        <v>299</v>
      </c>
      <c r="C422" s="8" t="s">
        <v>300</v>
      </c>
      <c r="D422" s="8" t="s">
        <v>301</v>
      </c>
      <c r="E422" s="8" t="s">
        <v>126</v>
      </c>
      <c r="F422" s="8" t="s">
        <v>73</v>
      </c>
      <c r="G422" s="8" t="s">
        <v>127</v>
      </c>
      <c r="H422" s="9" t="s">
        <v>18</v>
      </c>
      <c r="I422" s="10"/>
      <c r="J422" s="11" t="n">
        <f aca="false">INT((ROW()-2)/50)+1</f>
        <v>9</v>
      </c>
      <c r="K422" s="11" t="str">
        <f aca="false">IF(H422="","Pending",IF(OR(H422="0",H422="1",H422="2",H422="U"),"Complete","Invalid"))</f>
        <v>Complete</v>
      </c>
    </row>
    <row r="423" customFormat="false" ht="84" hidden="false" customHeight="true" outlineLevel="0" collapsed="false">
      <c r="A423" s="8" t="s">
        <v>765</v>
      </c>
      <c r="B423" s="8" t="s">
        <v>299</v>
      </c>
      <c r="C423" s="8" t="s">
        <v>300</v>
      </c>
      <c r="D423" s="8" t="s">
        <v>301</v>
      </c>
      <c r="E423" s="8" t="s">
        <v>319</v>
      </c>
      <c r="F423" s="8" t="s">
        <v>62</v>
      </c>
      <c r="G423" s="8" t="s">
        <v>320</v>
      </c>
      <c r="H423" s="9" t="s">
        <v>132</v>
      </c>
      <c r="I423" s="10"/>
      <c r="J423" s="11" t="n">
        <f aca="false">INT((ROW()-2)/50)+1</f>
        <v>9</v>
      </c>
      <c r="K423" s="11" t="str">
        <f aca="false">IF(H423="","Pending",IF(OR(H423="0",H423="1",H423="2",H423="U"),"Complete","Invalid"))</f>
        <v>Complete</v>
      </c>
    </row>
    <row r="424" customFormat="false" ht="84" hidden="false" customHeight="true" outlineLevel="0" collapsed="false">
      <c r="A424" s="8" t="s">
        <v>766</v>
      </c>
      <c r="B424" s="8" t="s">
        <v>20</v>
      </c>
      <c r="C424" s="8" t="s">
        <v>21</v>
      </c>
      <c r="D424" s="8" t="s">
        <v>22</v>
      </c>
      <c r="E424" s="8" t="s">
        <v>282</v>
      </c>
      <c r="F424" s="8" t="s">
        <v>24</v>
      </c>
      <c r="G424" s="8" t="s">
        <v>283</v>
      </c>
      <c r="H424" s="9" t="s">
        <v>18</v>
      </c>
      <c r="I424" s="10"/>
      <c r="J424" s="11" t="n">
        <f aca="false">INT((ROW()-2)/50)+1</f>
        <v>9</v>
      </c>
      <c r="K424" s="11" t="str">
        <f aca="false">IF(H424="","Pending",IF(OR(H424="0",H424="1",H424="2",H424="U"),"Complete","Invalid"))</f>
        <v>Complete</v>
      </c>
    </row>
    <row r="425" customFormat="false" ht="84" hidden="false" customHeight="true" outlineLevel="0" collapsed="false">
      <c r="A425" s="8" t="s">
        <v>767</v>
      </c>
      <c r="B425" s="8" t="s">
        <v>248</v>
      </c>
      <c r="C425" s="8" t="s">
        <v>249</v>
      </c>
      <c r="D425" s="8" t="s">
        <v>250</v>
      </c>
      <c r="E425" s="8" t="s">
        <v>390</v>
      </c>
      <c r="F425" s="8" t="s">
        <v>31</v>
      </c>
      <c r="G425" s="8" t="s">
        <v>391</v>
      </c>
      <c r="H425" s="9" t="s">
        <v>18</v>
      </c>
      <c r="I425" s="10"/>
      <c r="J425" s="11" t="n">
        <f aca="false">INT((ROW()-2)/50)+1</f>
        <v>9</v>
      </c>
      <c r="K425" s="11" t="str">
        <f aca="false">IF(H425="","Pending",IF(OR(H425="0",H425="1",H425="2",H425="U"),"Complete","Invalid"))</f>
        <v>Complete</v>
      </c>
    </row>
    <row r="426" customFormat="false" ht="84" hidden="false" customHeight="true" outlineLevel="0" collapsed="false">
      <c r="A426" s="8" t="s">
        <v>768</v>
      </c>
      <c r="B426" s="8" t="s">
        <v>223</v>
      </c>
      <c r="C426" s="8" t="s">
        <v>224</v>
      </c>
      <c r="D426" s="8" t="s">
        <v>225</v>
      </c>
      <c r="E426" s="8" t="s">
        <v>65</v>
      </c>
      <c r="F426" s="8" t="s">
        <v>66</v>
      </c>
      <c r="G426" s="8" t="s">
        <v>67</v>
      </c>
      <c r="H426" s="9" t="s">
        <v>18</v>
      </c>
      <c r="I426" s="10"/>
      <c r="J426" s="11" t="n">
        <f aca="false">INT((ROW()-2)/50)+1</f>
        <v>9</v>
      </c>
      <c r="K426" s="11" t="str">
        <f aca="false">IF(H426="","Pending",IF(OR(H426="0",H426="1",H426="2",H426="U"),"Complete","Invalid"))</f>
        <v>Complete</v>
      </c>
    </row>
    <row r="427" customFormat="false" ht="84" hidden="false" customHeight="true" outlineLevel="0" collapsed="false">
      <c r="A427" s="8" t="s">
        <v>769</v>
      </c>
      <c r="B427" s="8" t="s">
        <v>189</v>
      </c>
      <c r="C427" s="8" t="s">
        <v>190</v>
      </c>
      <c r="D427" s="8" t="s">
        <v>191</v>
      </c>
      <c r="E427" s="8" t="s">
        <v>145</v>
      </c>
      <c r="F427" s="8" t="s">
        <v>95</v>
      </c>
      <c r="G427" s="8" t="s">
        <v>146</v>
      </c>
      <c r="H427" s="9" t="s">
        <v>18</v>
      </c>
      <c r="I427" s="10"/>
      <c r="J427" s="11" t="n">
        <f aca="false">INT((ROW()-2)/50)+1</f>
        <v>9</v>
      </c>
      <c r="K427" s="11" t="str">
        <f aca="false">IF(H427="","Pending",IF(OR(H427="0",H427="1",H427="2",H427="U"),"Complete","Invalid"))</f>
        <v>Complete</v>
      </c>
    </row>
    <row r="428" customFormat="false" ht="84" hidden="false" customHeight="true" outlineLevel="0" collapsed="false">
      <c r="A428" s="8" t="s">
        <v>770</v>
      </c>
      <c r="B428" s="8" t="s">
        <v>76</v>
      </c>
      <c r="C428" s="8" t="s">
        <v>77</v>
      </c>
      <c r="D428" s="8" t="s">
        <v>78</v>
      </c>
      <c r="E428" s="8" t="s">
        <v>771</v>
      </c>
      <c r="F428" s="8" t="s">
        <v>216</v>
      </c>
      <c r="G428" s="8" t="s">
        <v>772</v>
      </c>
      <c r="H428" s="9" t="s">
        <v>114</v>
      </c>
      <c r="I428" s="10"/>
      <c r="J428" s="11" t="n">
        <f aca="false">INT((ROW()-2)/50)+1</f>
        <v>9</v>
      </c>
      <c r="K428" s="11" t="str">
        <f aca="false">IF(H428="","Pending",IF(OR(H428="0",H428="1",H428="2",H428="U"),"Complete","Invalid"))</f>
        <v>Complete</v>
      </c>
    </row>
    <row r="429" customFormat="false" ht="84" hidden="false" customHeight="true" outlineLevel="0" collapsed="false">
      <c r="A429" s="8" t="s">
        <v>773</v>
      </c>
      <c r="B429" s="8" t="s">
        <v>232</v>
      </c>
      <c r="C429" s="8" t="s">
        <v>233</v>
      </c>
      <c r="D429" s="8" t="s">
        <v>234</v>
      </c>
      <c r="E429" s="8" t="s">
        <v>353</v>
      </c>
      <c r="F429" s="8" t="s">
        <v>38</v>
      </c>
      <c r="G429" s="8" t="s">
        <v>354</v>
      </c>
      <c r="H429" s="9" t="s">
        <v>18</v>
      </c>
      <c r="I429" s="10"/>
      <c r="J429" s="11" t="n">
        <f aca="false">INT((ROW()-2)/50)+1</f>
        <v>9</v>
      </c>
      <c r="K429" s="11" t="str">
        <f aca="false">IF(H429="","Pending",IF(OR(H429="0",H429="1",H429="2",H429="U"),"Complete","Invalid"))</f>
        <v>Complete</v>
      </c>
    </row>
    <row r="430" customFormat="false" ht="84" hidden="false" customHeight="true" outlineLevel="0" collapsed="false">
      <c r="A430" s="8" t="s">
        <v>774</v>
      </c>
      <c r="B430" s="8" t="s">
        <v>299</v>
      </c>
      <c r="C430" s="8" t="s">
        <v>300</v>
      </c>
      <c r="D430" s="8" t="s">
        <v>301</v>
      </c>
      <c r="E430" s="8" t="s">
        <v>244</v>
      </c>
      <c r="F430" s="8" t="s">
        <v>245</v>
      </c>
      <c r="G430" s="8" t="s">
        <v>246</v>
      </c>
      <c r="H430" s="9" t="s">
        <v>18</v>
      </c>
      <c r="I430" s="10"/>
      <c r="J430" s="11" t="n">
        <f aca="false">INT((ROW()-2)/50)+1</f>
        <v>9</v>
      </c>
      <c r="K430" s="11" t="str">
        <f aca="false">IF(H430="","Pending",IF(OR(H430="0",H430="1",H430="2",H430="U"),"Complete","Invalid"))</f>
        <v>Complete</v>
      </c>
    </row>
    <row r="431" customFormat="false" ht="84" hidden="false" customHeight="true" outlineLevel="0" collapsed="false">
      <c r="A431" s="8" t="s">
        <v>775</v>
      </c>
      <c r="B431" s="8" t="s">
        <v>312</v>
      </c>
      <c r="C431" s="8" t="s">
        <v>313</v>
      </c>
      <c r="D431" s="8" t="s">
        <v>314</v>
      </c>
      <c r="E431" s="8" t="s">
        <v>54</v>
      </c>
      <c r="F431" s="8" t="s">
        <v>55</v>
      </c>
      <c r="G431" s="8" t="s">
        <v>56</v>
      </c>
      <c r="H431" s="9" t="s">
        <v>18</v>
      </c>
      <c r="I431" s="10"/>
      <c r="J431" s="11" t="n">
        <f aca="false">INT((ROW()-2)/50)+1</f>
        <v>9</v>
      </c>
      <c r="K431" s="11" t="str">
        <f aca="false">IF(H431="","Pending",IF(OR(H431="0",H431="1",H431="2",H431="U"),"Complete","Invalid"))</f>
        <v>Complete</v>
      </c>
    </row>
    <row r="432" customFormat="false" ht="84" hidden="false" customHeight="true" outlineLevel="0" collapsed="false">
      <c r="A432" s="8" t="s">
        <v>776</v>
      </c>
      <c r="B432" s="8" t="s">
        <v>167</v>
      </c>
      <c r="C432" s="8" t="s">
        <v>168</v>
      </c>
      <c r="D432" s="8" t="s">
        <v>169</v>
      </c>
      <c r="E432" s="8" t="s">
        <v>777</v>
      </c>
      <c r="F432" s="8" t="s">
        <v>380</v>
      </c>
      <c r="G432" s="8" t="s">
        <v>778</v>
      </c>
      <c r="H432" s="9" t="s">
        <v>18</v>
      </c>
      <c r="I432" s="10" t="s">
        <v>779</v>
      </c>
      <c r="J432" s="11" t="n">
        <f aca="false">INT((ROW()-2)/50)+1</f>
        <v>9</v>
      </c>
      <c r="K432" s="11" t="str">
        <f aca="false">IF(H432="","Pending",IF(OR(H432="0",H432="1",H432="2",H432="U"),"Complete","Invalid"))</f>
        <v>Complete</v>
      </c>
    </row>
    <row r="433" customFormat="false" ht="84" hidden="false" customHeight="true" outlineLevel="0" collapsed="false">
      <c r="A433" s="8" t="s">
        <v>780</v>
      </c>
      <c r="B433" s="8" t="s">
        <v>312</v>
      </c>
      <c r="C433" s="8" t="s">
        <v>313</v>
      </c>
      <c r="D433" s="8" t="s">
        <v>314</v>
      </c>
      <c r="E433" s="8" t="s">
        <v>278</v>
      </c>
      <c r="F433" s="8" t="s">
        <v>31</v>
      </c>
      <c r="G433" s="8" t="s">
        <v>279</v>
      </c>
      <c r="H433" s="9" t="s">
        <v>114</v>
      </c>
      <c r="I433" s="10" t="s">
        <v>781</v>
      </c>
      <c r="J433" s="11" t="n">
        <f aca="false">INT((ROW()-2)/50)+1</f>
        <v>9</v>
      </c>
      <c r="K433" s="11" t="str">
        <f aca="false">IF(H433="","Pending",IF(OR(H433="0",H433="1",H433="2",H433="U"),"Complete","Invalid"))</f>
        <v>Complete</v>
      </c>
    </row>
    <row r="434" customFormat="false" ht="84" hidden="false" customHeight="true" outlineLevel="0" collapsed="false">
      <c r="A434" s="8" t="s">
        <v>782</v>
      </c>
      <c r="B434" s="8" t="s">
        <v>98</v>
      </c>
      <c r="C434" s="8" t="s">
        <v>99</v>
      </c>
      <c r="D434" s="8" t="s">
        <v>100</v>
      </c>
      <c r="E434" s="8" t="s">
        <v>252</v>
      </c>
      <c r="F434" s="8" t="s">
        <v>138</v>
      </c>
      <c r="G434" s="8" t="s">
        <v>253</v>
      </c>
      <c r="H434" s="9" t="s">
        <v>132</v>
      </c>
      <c r="I434" s="10"/>
      <c r="J434" s="11" t="n">
        <f aca="false">INT((ROW()-2)/50)+1</f>
        <v>9</v>
      </c>
      <c r="K434" s="11" t="str">
        <f aca="false">IF(H434="","Pending",IF(OR(H434="0",H434="1",H434="2",H434="U"),"Complete","Invalid"))</f>
        <v>Complete</v>
      </c>
    </row>
    <row r="435" customFormat="false" ht="84" hidden="false" customHeight="true" outlineLevel="0" collapsed="false">
      <c r="A435" s="8" t="s">
        <v>783</v>
      </c>
      <c r="B435" s="8" t="s">
        <v>232</v>
      </c>
      <c r="C435" s="8" t="s">
        <v>233</v>
      </c>
      <c r="D435" s="8" t="s">
        <v>234</v>
      </c>
      <c r="E435" s="8" t="s">
        <v>83</v>
      </c>
      <c r="F435" s="8" t="s">
        <v>84</v>
      </c>
      <c r="G435" s="8" t="s">
        <v>85</v>
      </c>
      <c r="H435" s="9" t="s">
        <v>18</v>
      </c>
      <c r="I435" s="10"/>
      <c r="J435" s="11" t="n">
        <f aca="false">INT((ROW()-2)/50)+1</f>
        <v>9</v>
      </c>
      <c r="K435" s="11" t="str">
        <f aca="false">IF(H435="","Pending",IF(OR(H435="0",H435="1",H435="2",H435="U"),"Complete","Invalid"))</f>
        <v>Complete</v>
      </c>
    </row>
    <row r="436" customFormat="false" ht="84" hidden="false" customHeight="true" outlineLevel="0" collapsed="false">
      <c r="A436" s="8" t="s">
        <v>784</v>
      </c>
      <c r="B436" s="8" t="s">
        <v>248</v>
      </c>
      <c r="C436" s="8" t="s">
        <v>249</v>
      </c>
      <c r="D436" s="8" t="s">
        <v>250</v>
      </c>
      <c r="E436" s="8" t="s">
        <v>290</v>
      </c>
      <c r="F436" s="8" t="s">
        <v>55</v>
      </c>
      <c r="G436" s="8" t="s">
        <v>291</v>
      </c>
      <c r="H436" s="9" t="s">
        <v>132</v>
      </c>
      <c r="I436" s="10"/>
      <c r="J436" s="11" t="n">
        <f aca="false">INT((ROW()-2)/50)+1</f>
        <v>9</v>
      </c>
      <c r="K436" s="11" t="str">
        <f aca="false">IF(H436="","Pending",IF(OR(H436="0",H436="1",H436="2",H436="U"),"Complete","Invalid"))</f>
        <v>Complete</v>
      </c>
    </row>
    <row r="437" customFormat="false" ht="84" hidden="false" customHeight="true" outlineLevel="0" collapsed="false">
      <c r="A437" s="8" t="s">
        <v>785</v>
      </c>
      <c r="B437" s="8" t="s">
        <v>123</v>
      </c>
      <c r="C437" s="8" t="s">
        <v>124</v>
      </c>
      <c r="D437" s="8" t="s">
        <v>125</v>
      </c>
      <c r="E437" s="8" t="s">
        <v>116</v>
      </c>
      <c r="F437" s="8" t="s">
        <v>117</v>
      </c>
      <c r="G437" s="8" t="s">
        <v>118</v>
      </c>
      <c r="H437" s="9" t="s">
        <v>18</v>
      </c>
      <c r="I437" s="10"/>
      <c r="J437" s="11" t="n">
        <f aca="false">INT((ROW()-2)/50)+1</f>
        <v>9</v>
      </c>
      <c r="K437" s="11" t="str">
        <f aca="false">IF(H437="","Pending",IF(OR(H437="0",H437="1",H437="2",H437="U"),"Complete","Invalid"))</f>
        <v>Complete</v>
      </c>
    </row>
    <row r="438" customFormat="false" ht="84" hidden="false" customHeight="true" outlineLevel="0" collapsed="false">
      <c r="A438" s="8" t="s">
        <v>786</v>
      </c>
      <c r="B438" s="8" t="s">
        <v>189</v>
      </c>
      <c r="C438" s="8" t="s">
        <v>190</v>
      </c>
      <c r="D438" s="8" t="s">
        <v>191</v>
      </c>
      <c r="E438" s="8" t="s">
        <v>522</v>
      </c>
      <c r="F438" s="8" t="s">
        <v>24</v>
      </c>
      <c r="G438" s="8" t="s">
        <v>523</v>
      </c>
      <c r="H438" s="9" t="s">
        <v>132</v>
      </c>
      <c r="I438" s="10"/>
      <c r="J438" s="11" t="n">
        <f aca="false">INT((ROW()-2)/50)+1</f>
        <v>9</v>
      </c>
      <c r="K438" s="11" t="str">
        <f aca="false">IF(H438="","Pending",IF(OR(H438="0",H438="1",H438="2",H438="U"),"Complete","Invalid"))</f>
        <v>Complete</v>
      </c>
    </row>
    <row r="439" customFormat="false" ht="84" hidden="false" customHeight="true" outlineLevel="0" collapsed="false">
      <c r="A439" s="8" t="s">
        <v>787</v>
      </c>
      <c r="B439" s="8" t="s">
        <v>171</v>
      </c>
      <c r="C439" s="8" t="s">
        <v>172</v>
      </c>
      <c r="D439" s="8" t="s">
        <v>173</v>
      </c>
      <c r="E439" s="8" t="s">
        <v>120</v>
      </c>
      <c r="F439" s="8" t="s">
        <v>31</v>
      </c>
      <c r="G439" s="8" t="s">
        <v>121</v>
      </c>
      <c r="H439" s="9" t="s">
        <v>18</v>
      </c>
      <c r="I439" s="10"/>
      <c r="J439" s="11" t="n">
        <f aca="false">INT((ROW()-2)/50)+1</f>
        <v>9</v>
      </c>
      <c r="K439" s="11" t="str">
        <f aca="false">IF(H439="","Pending",IF(OR(H439="0",H439="1",H439="2",H439="U"),"Complete","Invalid"))</f>
        <v>Complete</v>
      </c>
    </row>
    <row r="440" customFormat="false" ht="84" hidden="false" customHeight="true" outlineLevel="0" collapsed="false">
      <c r="A440" s="8" t="s">
        <v>788</v>
      </c>
      <c r="B440" s="8" t="s">
        <v>58</v>
      </c>
      <c r="C440" s="8" t="s">
        <v>59</v>
      </c>
      <c r="D440" s="8" t="s">
        <v>60</v>
      </c>
      <c r="E440" s="8" t="s">
        <v>319</v>
      </c>
      <c r="F440" s="8" t="s">
        <v>62</v>
      </c>
      <c r="G440" s="8" t="s">
        <v>320</v>
      </c>
      <c r="H440" s="9" t="s">
        <v>18</v>
      </c>
      <c r="I440" s="10"/>
      <c r="J440" s="11" t="n">
        <f aca="false">INT((ROW()-2)/50)+1</f>
        <v>9</v>
      </c>
      <c r="K440" s="11" t="str">
        <f aca="false">IF(H440="","Pending",IF(OR(H440="0",H440="1",H440="2",H440="U"),"Complete","Invalid"))</f>
        <v>Complete</v>
      </c>
    </row>
    <row r="441" customFormat="false" ht="84" hidden="false" customHeight="true" outlineLevel="0" collapsed="false">
      <c r="A441" s="8" t="s">
        <v>789</v>
      </c>
      <c r="B441" s="8" t="s">
        <v>155</v>
      </c>
      <c r="C441" s="8" t="s">
        <v>156</v>
      </c>
      <c r="D441" s="8" t="s">
        <v>157</v>
      </c>
      <c r="E441" s="8" t="s">
        <v>54</v>
      </c>
      <c r="F441" s="8" t="s">
        <v>55</v>
      </c>
      <c r="G441" s="8" t="s">
        <v>56</v>
      </c>
      <c r="H441" s="9" t="s">
        <v>132</v>
      </c>
      <c r="I441" s="10"/>
      <c r="J441" s="11" t="n">
        <f aca="false">INT((ROW()-2)/50)+1</f>
        <v>9</v>
      </c>
      <c r="K441" s="11" t="str">
        <f aca="false">IF(H441="","Pending",IF(OR(H441="0",H441="1",H441="2",H441="U"),"Complete","Invalid"))</f>
        <v>Complete</v>
      </c>
    </row>
    <row r="442" customFormat="false" ht="84" hidden="false" customHeight="true" outlineLevel="0" collapsed="false">
      <c r="A442" s="8" t="s">
        <v>790</v>
      </c>
      <c r="B442" s="8" t="s">
        <v>198</v>
      </c>
      <c r="C442" s="8" t="s">
        <v>199</v>
      </c>
      <c r="D442" s="8" t="s">
        <v>200</v>
      </c>
      <c r="E442" s="8" t="s">
        <v>235</v>
      </c>
      <c r="F442" s="8" t="s">
        <v>16</v>
      </c>
      <c r="G442" s="8" t="s">
        <v>236</v>
      </c>
      <c r="H442" s="9" t="s">
        <v>18</v>
      </c>
      <c r="I442" s="10"/>
      <c r="J442" s="11" t="n">
        <f aca="false">INT((ROW()-2)/50)+1</f>
        <v>9</v>
      </c>
      <c r="K442" s="11" t="str">
        <f aca="false">IF(H442="","Pending",IF(OR(H442="0",H442="1",H442="2",H442="U"),"Complete","Invalid"))</f>
        <v>Complete</v>
      </c>
    </row>
    <row r="443" customFormat="false" ht="84" hidden="false" customHeight="true" outlineLevel="0" collapsed="false">
      <c r="A443" s="8" t="s">
        <v>791</v>
      </c>
      <c r="B443" s="8" t="s">
        <v>238</v>
      </c>
      <c r="C443" s="8" t="s">
        <v>239</v>
      </c>
      <c r="D443" s="8" t="s">
        <v>240</v>
      </c>
      <c r="E443" s="8" t="s">
        <v>327</v>
      </c>
      <c r="F443" s="8" t="s">
        <v>31</v>
      </c>
      <c r="G443" s="8" t="s">
        <v>328</v>
      </c>
      <c r="H443" s="9" t="s">
        <v>18</v>
      </c>
      <c r="I443" s="10"/>
      <c r="J443" s="11" t="n">
        <f aca="false">INT((ROW()-2)/50)+1</f>
        <v>9</v>
      </c>
      <c r="K443" s="11" t="str">
        <f aca="false">IF(H443="","Pending",IF(OR(H443="0",H443="1",H443="2",H443="U"),"Complete","Invalid"))</f>
        <v>Complete</v>
      </c>
    </row>
    <row r="444" customFormat="false" ht="84" hidden="false" customHeight="true" outlineLevel="0" collapsed="false">
      <c r="A444" s="8" t="s">
        <v>792</v>
      </c>
      <c r="B444" s="8" t="s">
        <v>238</v>
      </c>
      <c r="C444" s="8" t="s">
        <v>239</v>
      </c>
      <c r="D444" s="8" t="s">
        <v>240</v>
      </c>
      <c r="E444" s="8" t="s">
        <v>262</v>
      </c>
      <c r="F444" s="8" t="s">
        <v>263</v>
      </c>
      <c r="G444" s="8" t="s">
        <v>264</v>
      </c>
      <c r="H444" s="9" t="s">
        <v>18</v>
      </c>
      <c r="I444" s="10"/>
      <c r="J444" s="11" t="n">
        <f aca="false">INT((ROW()-2)/50)+1</f>
        <v>9</v>
      </c>
      <c r="K444" s="11" t="str">
        <f aca="false">IF(H444="","Pending",IF(OR(H444="0",H444="1",H444="2",H444="U"),"Complete","Invalid"))</f>
        <v>Complete</v>
      </c>
    </row>
    <row r="445" customFormat="false" ht="84" hidden="false" customHeight="true" outlineLevel="0" collapsed="false">
      <c r="A445" s="8" t="s">
        <v>793</v>
      </c>
      <c r="B445" s="8" t="s">
        <v>219</v>
      </c>
      <c r="C445" s="8" t="s">
        <v>220</v>
      </c>
      <c r="D445" s="8" t="s">
        <v>221</v>
      </c>
      <c r="E445" s="8" t="s">
        <v>293</v>
      </c>
      <c r="F445" s="8" t="s">
        <v>31</v>
      </c>
      <c r="G445" s="8" t="s">
        <v>294</v>
      </c>
      <c r="H445" s="9" t="s">
        <v>18</v>
      </c>
      <c r="I445" s="10"/>
      <c r="J445" s="11" t="n">
        <f aca="false">INT((ROW()-2)/50)+1</f>
        <v>9</v>
      </c>
      <c r="K445" s="11" t="str">
        <f aca="false">IF(H445="","Pending",IF(OR(H445="0",H445="1",H445="2",H445="U"),"Complete","Invalid"))</f>
        <v>Complete</v>
      </c>
    </row>
    <row r="446" customFormat="false" ht="84" hidden="false" customHeight="true" outlineLevel="0" collapsed="false">
      <c r="A446" s="8" t="s">
        <v>794</v>
      </c>
      <c r="B446" s="8" t="s">
        <v>41</v>
      </c>
      <c r="C446" s="8" t="s">
        <v>42</v>
      </c>
      <c r="D446" s="8" t="s">
        <v>43</v>
      </c>
      <c r="E446" s="8" t="s">
        <v>241</v>
      </c>
      <c r="F446" s="8" t="s">
        <v>38</v>
      </c>
      <c r="G446" s="8" t="s">
        <v>242</v>
      </c>
      <c r="H446" s="9" t="s">
        <v>18</v>
      </c>
      <c r="I446" s="10"/>
      <c r="J446" s="11" t="n">
        <f aca="false">INT((ROW()-2)/50)+1</f>
        <v>9</v>
      </c>
      <c r="K446" s="11" t="str">
        <f aca="false">IF(H446="","Pending",IF(OR(H446="0",H446="1",H446="2",H446="U"),"Complete","Invalid"))</f>
        <v>Complete</v>
      </c>
    </row>
    <row r="447" customFormat="false" ht="84" hidden="false" customHeight="true" outlineLevel="0" collapsed="false">
      <c r="A447" s="8" t="s">
        <v>795</v>
      </c>
      <c r="B447" s="8" t="s">
        <v>34</v>
      </c>
      <c r="C447" s="8" t="s">
        <v>35</v>
      </c>
      <c r="D447" s="8" t="s">
        <v>36</v>
      </c>
      <c r="E447" s="8" t="s">
        <v>282</v>
      </c>
      <c r="F447" s="8" t="s">
        <v>24</v>
      </c>
      <c r="G447" s="8" t="s">
        <v>283</v>
      </c>
      <c r="H447" s="9" t="s">
        <v>18</v>
      </c>
      <c r="I447" s="10"/>
      <c r="J447" s="11" t="n">
        <f aca="false">INT((ROW()-2)/50)+1</f>
        <v>9</v>
      </c>
      <c r="K447" s="11" t="str">
        <f aca="false">IF(H447="","Pending",IF(OR(H447="0",H447="1",H447="2",H447="U"),"Complete","Invalid"))</f>
        <v>Complete</v>
      </c>
    </row>
    <row r="448" customFormat="false" ht="84" hidden="false" customHeight="true" outlineLevel="0" collapsed="false">
      <c r="A448" s="8" t="s">
        <v>796</v>
      </c>
      <c r="B448" s="8" t="s">
        <v>248</v>
      </c>
      <c r="C448" s="8" t="s">
        <v>249</v>
      </c>
      <c r="D448" s="8" t="s">
        <v>250</v>
      </c>
      <c r="E448" s="8" t="s">
        <v>15</v>
      </c>
      <c r="F448" s="8" t="s">
        <v>16</v>
      </c>
      <c r="G448" s="8" t="s">
        <v>17</v>
      </c>
      <c r="H448" s="9" t="s">
        <v>18</v>
      </c>
      <c r="I448" s="10"/>
      <c r="J448" s="11" t="n">
        <f aca="false">INT((ROW()-2)/50)+1</f>
        <v>9</v>
      </c>
      <c r="K448" s="11" t="str">
        <f aca="false">IF(H448="","Pending",IF(OR(H448="0",H448="1",H448="2",H448="U"),"Complete","Invalid"))</f>
        <v>Complete</v>
      </c>
    </row>
    <row r="449" customFormat="false" ht="84" hidden="false" customHeight="true" outlineLevel="0" collapsed="false">
      <c r="A449" s="8" t="s">
        <v>797</v>
      </c>
      <c r="B449" s="8" t="s">
        <v>312</v>
      </c>
      <c r="C449" s="8" t="s">
        <v>313</v>
      </c>
      <c r="D449" s="8" t="s">
        <v>314</v>
      </c>
      <c r="E449" s="8" t="s">
        <v>290</v>
      </c>
      <c r="F449" s="8" t="s">
        <v>55</v>
      </c>
      <c r="G449" s="8" t="s">
        <v>291</v>
      </c>
      <c r="H449" s="9" t="s">
        <v>18</v>
      </c>
      <c r="I449" s="10"/>
      <c r="J449" s="11" t="n">
        <f aca="false">INT((ROW()-2)/50)+1</f>
        <v>9</v>
      </c>
      <c r="K449" s="11" t="str">
        <f aca="false">IF(H449="","Pending",IF(OR(H449="0",H449="1",H449="2",H449="U"),"Complete","Invalid"))</f>
        <v>Complete</v>
      </c>
    </row>
    <row r="450" customFormat="false" ht="84" hidden="false" customHeight="true" outlineLevel="0" collapsed="false">
      <c r="A450" s="8" t="s">
        <v>798</v>
      </c>
      <c r="B450" s="8" t="s">
        <v>198</v>
      </c>
      <c r="C450" s="8" t="s">
        <v>199</v>
      </c>
      <c r="D450" s="8" t="s">
        <v>200</v>
      </c>
      <c r="E450" s="8" t="s">
        <v>15</v>
      </c>
      <c r="F450" s="8" t="s">
        <v>16</v>
      </c>
      <c r="G450" s="8" t="s">
        <v>17</v>
      </c>
      <c r="H450" s="9" t="s">
        <v>18</v>
      </c>
      <c r="I450" s="10"/>
      <c r="J450" s="11" t="n">
        <f aca="false">INT((ROW()-2)/50)+1</f>
        <v>9</v>
      </c>
      <c r="K450" s="11" t="str">
        <f aca="false">IF(H450="","Pending",IF(OR(H450="0",H450="1",H450="2",H450="U"),"Complete","Invalid"))</f>
        <v>Complete</v>
      </c>
    </row>
    <row r="451" customFormat="false" ht="84" hidden="false" customHeight="true" outlineLevel="0" collapsed="false">
      <c r="A451" s="8" t="s">
        <v>799</v>
      </c>
      <c r="B451" s="8" t="s">
        <v>45</v>
      </c>
      <c r="C451" s="8" t="s">
        <v>46</v>
      </c>
      <c r="D451" s="8" t="s">
        <v>47</v>
      </c>
      <c r="E451" s="8" t="s">
        <v>72</v>
      </c>
      <c r="F451" s="8" t="s">
        <v>73</v>
      </c>
      <c r="G451" s="8" t="s">
        <v>74</v>
      </c>
      <c r="H451" s="9" t="s">
        <v>18</v>
      </c>
      <c r="I451" s="10"/>
      <c r="J451" s="11" t="n">
        <f aca="false">INT((ROW()-2)/50)+1</f>
        <v>9</v>
      </c>
      <c r="K451" s="11" t="str">
        <f aca="false">IF(H451="","Pending",IF(OR(H451="0",H451="1",H451="2",H451="U"),"Complete","Invalid"))</f>
        <v>Complete</v>
      </c>
    </row>
    <row r="452" customFormat="false" ht="84" hidden="false" customHeight="true" outlineLevel="0" collapsed="false">
      <c r="A452" s="8" t="s">
        <v>800</v>
      </c>
      <c r="B452" s="8" t="s">
        <v>27</v>
      </c>
      <c r="C452" s="8" t="s">
        <v>28</v>
      </c>
      <c r="D452" s="8" t="s">
        <v>29</v>
      </c>
      <c r="E452" s="8" t="s">
        <v>65</v>
      </c>
      <c r="F452" s="8" t="s">
        <v>66</v>
      </c>
      <c r="G452" s="8" t="s">
        <v>67</v>
      </c>
      <c r="H452" s="9" t="s">
        <v>18</v>
      </c>
      <c r="I452" s="10"/>
      <c r="J452" s="11" t="n">
        <f aca="false">INT((ROW()-2)/50)+1</f>
        <v>10</v>
      </c>
      <c r="K452" s="11" t="str">
        <f aca="false">IF(H452="","Pending",IF(OR(H452="0",H452="1",H452="2",H452="U"),"Complete","Invalid"))</f>
        <v>Complete</v>
      </c>
    </row>
    <row r="453" customFormat="false" ht="84" hidden="false" customHeight="true" outlineLevel="0" collapsed="false">
      <c r="A453" s="8" t="s">
        <v>801</v>
      </c>
      <c r="B453" s="8" t="s">
        <v>259</v>
      </c>
      <c r="C453" s="8" t="s">
        <v>260</v>
      </c>
      <c r="D453" s="8" t="s">
        <v>261</v>
      </c>
      <c r="E453" s="8" t="s">
        <v>61</v>
      </c>
      <c r="F453" s="8" t="s">
        <v>62</v>
      </c>
      <c r="G453" s="8" t="s">
        <v>63</v>
      </c>
      <c r="H453" s="9" t="s">
        <v>18</v>
      </c>
      <c r="I453" s="10"/>
      <c r="J453" s="11" t="n">
        <f aca="false">INT((ROW()-2)/50)+1</f>
        <v>10</v>
      </c>
      <c r="K453" s="11" t="str">
        <f aca="false">IF(H453="","Pending",IF(OR(H453="0",H453="1",H453="2",H453="U"),"Complete","Invalid"))</f>
        <v>Complete</v>
      </c>
    </row>
    <row r="454" customFormat="false" ht="84" hidden="false" customHeight="true" outlineLevel="0" collapsed="false">
      <c r="A454" s="8" t="s">
        <v>802</v>
      </c>
      <c r="B454" s="8" t="s">
        <v>91</v>
      </c>
      <c r="C454" s="8" t="s">
        <v>92</v>
      </c>
      <c r="D454" s="8" t="s">
        <v>93</v>
      </c>
      <c r="E454" s="8" t="s">
        <v>182</v>
      </c>
      <c r="F454" s="8" t="s">
        <v>66</v>
      </c>
      <c r="G454" s="8" t="s">
        <v>183</v>
      </c>
      <c r="H454" s="9" t="s">
        <v>18</v>
      </c>
      <c r="I454" s="10"/>
      <c r="J454" s="11" t="n">
        <f aca="false">INT((ROW()-2)/50)+1</f>
        <v>10</v>
      </c>
      <c r="K454" s="11" t="str">
        <f aca="false">IF(H454="","Pending",IF(OR(H454="0",H454="1",H454="2",H454="U"),"Complete","Invalid"))</f>
        <v>Complete</v>
      </c>
    </row>
    <row r="455" customFormat="false" ht="84" hidden="false" customHeight="true" outlineLevel="0" collapsed="false">
      <c r="A455" s="8" t="s">
        <v>803</v>
      </c>
      <c r="B455" s="8" t="s">
        <v>171</v>
      </c>
      <c r="C455" s="8" t="s">
        <v>172</v>
      </c>
      <c r="D455" s="8" t="s">
        <v>173</v>
      </c>
      <c r="E455" s="8" t="s">
        <v>356</v>
      </c>
      <c r="F455" s="8" t="s">
        <v>66</v>
      </c>
      <c r="G455" s="8" t="s">
        <v>357</v>
      </c>
      <c r="H455" s="9" t="s">
        <v>18</v>
      </c>
      <c r="I455" s="10"/>
      <c r="J455" s="11" t="n">
        <f aca="false">INT((ROW()-2)/50)+1</f>
        <v>10</v>
      </c>
      <c r="K455" s="11" t="str">
        <f aca="false">IF(H455="","Pending",IF(OR(H455="0",H455="1",H455="2",H455="U"),"Complete","Invalid"))</f>
        <v>Complete</v>
      </c>
    </row>
    <row r="456" customFormat="false" ht="84" hidden="false" customHeight="true" outlineLevel="0" collapsed="false">
      <c r="A456" s="8" t="s">
        <v>804</v>
      </c>
      <c r="B456" s="8" t="s">
        <v>219</v>
      </c>
      <c r="C456" s="8" t="s">
        <v>220</v>
      </c>
      <c r="D456" s="8" t="s">
        <v>221</v>
      </c>
      <c r="E456" s="8" t="s">
        <v>431</v>
      </c>
      <c r="F456" s="8" t="s">
        <v>24</v>
      </c>
      <c r="G456" s="8" t="s">
        <v>432</v>
      </c>
      <c r="H456" s="9" t="s">
        <v>18</v>
      </c>
      <c r="I456" s="10"/>
      <c r="J456" s="11" t="n">
        <f aca="false">INT((ROW()-2)/50)+1</f>
        <v>10</v>
      </c>
      <c r="K456" s="11" t="str">
        <f aca="false">IF(H456="","Pending",IF(OR(H456="0",H456="1",H456="2",H456="U"),"Complete","Invalid"))</f>
        <v>Complete</v>
      </c>
    </row>
    <row r="457" customFormat="false" ht="84" hidden="false" customHeight="true" outlineLevel="0" collapsed="false">
      <c r="A457" s="8" t="s">
        <v>805</v>
      </c>
      <c r="B457" s="8" t="s">
        <v>223</v>
      </c>
      <c r="C457" s="8" t="s">
        <v>224</v>
      </c>
      <c r="D457" s="8" t="s">
        <v>225</v>
      </c>
      <c r="E457" s="8" t="s">
        <v>436</v>
      </c>
      <c r="F457" s="8" t="s">
        <v>263</v>
      </c>
      <c r="G457" s="8" t="s">
        <v>437</v>
      </c>
      <c r="H457" s="9" t="s">
        <v>114</v>
      </c>
      <c r="I457" s="10"/>
      <c r="J457" s="11" t="n">
        <f aca="false">INT((ROW()-2)/50)+1</f>
        <v>10</v>
      </c>
      <c r="K457" s="11" t="str">
        <f aca="false">IF(H457="","Pending",IF(OR(H457="0",H457="1",H457="2",H457="U"),"Complete","Invalid"))</f>
        <v>Complete</v>
      </c>
    </row>
    <row r="458" customFormat="false" ht="84" hidden="false" customHeight="true" outlineLevel="0" collapsed="false">
      <c r="A458" s="8" t="s">
        <v>806</v>
      </c>
      <c r="B458" s="8" t="s">
        <v>12</v>
      </c>
      <c r="C458" s="8" t="s">
        <v>13</v>
      </c>
      <c r="D458" s="8" t="s">
        <v>14</v>
      </c>
      <c r="E458" s="8" t="s">
        <v>108</v>
      </c>
      <c r="F458" s="8" t="s">
        <v>109</v>
      </c>
      <c r="G458" s="8" t="s">
        <v>110</v>
      </c>
      <c r="H458" s="9" t="s">
        <v>18</v>
      </c>
      <c r="I458" s="10"/>
      <c r="J458" s="11" t="n">
        <f aca="false">INT((ROW()-2)/50)+1</f>
        <v>10</v>
      </c>
      <c r="K458" s="11" t="str">
        <f aca="false">IF(H458="","Pending",IF(OR(H458="0",H458="1",H458="2",H458="U"),"Complete","Invalid"))</f>
        <v>Complete</v>
      </c>
    </row>
    <row r="459" customFormat="false" ht="84" hidden="false" customHeight="true" outlineLevel="0" collapsed="false">
      <c r="A459" s="8" t="s">
        <v>807</v>
      </c>
      <c r="B459" s="8" t="s">
        <v>27</v>
      </c>
      <c r="C459" s="8" t="s">
        <v>28</v>
      </c>
      <c r="D459" s="8" t="s">
        <v>29</v>
      </c>
      <c r="E459" s="8" t="s">
        <v>72</v>
      </c>
      <c r="F459" s="8" t="s">
        <v>73</v>
      </c>
      <c r="G459" s="8" t="s">
        <v>74</v>
      </c>
      <c r="H459" s="9" t="s">
        <v>18</v>
      </c>
      <c r="I459" s="10"/>
      <c r="J459" s="11" t="n">
        <f aca="false">INT((ROW()-2)/50)+1</f>
        <v>10</v>
      </c>
      <c r="K459" s="11" t="str">
        <f aca="false">IF(H459="","Pending",IF(OR(H459="0",H459="1",H459="2",H459="U"),"Complete","Invalid"))</f>
        <v>Complete</v>
      </c>
    </row>
    <row r="460" customFormat="false" ht="84" hidden="false" customHeight="true" outlineLevel="0" collapsed="false">
      <c r="A460" s="8" t="s">
        <v>808</v>
      </c>
      <c r="B460" s="8" t="s">
        <v>232</v>
      </c>
      <c r="C460" s="8" t="s">
        <v>233</v>
      </c>
      <c r="D460" s="8" t="s">
        <v>234</v>
      </c>
      <c r="E460" s="8" t="s">
        <v>15</v>
      </c>
      <c r="F460" s="8" t="s">
        <v>16</v>
      </c>
      <c r="G460" s="8" t="s">
        <v>17</v>
      </c>
      <c r="H460" s="9" t="s">
        <v>18</v>
      </c>
      <c r="I460" s="10"/>
      <c r="J460" s="11" t="n">
        <f aca="false">INT((ROW()-2)/50)+1</f>
        <v>10</v>
      </c>
      <c r="K460" s="11" t="str">
        <f aca="false">IF(H460="","Pending",IF(OR(H460="0",H460="1",H460="2",H460="U"),"Complete","Invalid"))</f>
        <v>Complete</v>
      </c>
    </row>
    <row r="461" customFormat="false" ht="84" hidden="false" customHeight="true" outlineLevel="0" collapsed="false">
      <c r="A461" s="8" t="s">
        <v>809</v>
      </c>
      <c r="B461" s="8" t="s">
        <v>223</v>
      </c>
      <c r="C461" s="8" t="s">
        <v>224</v>
      </c>
      <c r="D461" s="8" t="s">
        <v>225</v>
      </c>
      <c r="E461" s="8" t="s">
        <v>23</v>
      </c>
      <c r="F461" s="8" t="s">
        <v>24</v>
      </c>
      <c r="G461" s="8" t="s">
        <v>25</v>
      </c>
      <c r="H461" s="9" t="s">
        <v>18</v>
      </c>
      <c r="I461" s="10"/>
      <c r="J461" s="11" t="n">
        <f aca="false">INT((ROW()-2)/50)+1</f>
        <v>10</v>
      </c>
      <c r="K461" s="11" t="str">
        <f aca="false">IF(H461="","Pending",IF(OR(H461="0",H461="1",H461="2",H461="U"),"Complete","Invalid"))</f>
        <v>Complete</v>
      </c>
    </row>
    <row r="462" customFormat="false" ht="84" hidden="false" customHeight="true" outlineLevel="0" collapsed="false">
      <c r="A462" s="8" t="s">
        <v>810</v>
      </c>
      <c r="B462" s="8" t="s">
        <v>41</v>
      </c>
      <c r="C462" s="8" t="s">
        <v>42</v>
      </c>
      <c r="D462" s="8" t="s">
        <v>43</v>
      </c>
      <c r="E462" s="8" t="s">
        <v>383</v>
      </c>
      <c r="F462" s="8" t="s">
        <v>380</v>
      </c>
      <c r="G462" s="8" t="s">
        <v>384</v>
      </c>
      <c r="H462" s="9" t="s">
        <v>18</v>
      </c>
      <c r="I462" s="10"/>
      <c r="J462" s="11" t="n">
        <f aca="false">INT((ROW()-2)/50)+1</f>
        <v>10</v>
      </c>
      <c r="K462" s="11" t="str">
        <f aca="false">IF(H462="","Pending",IF(OR(H462="0",H462="1",H462="2",H462="U"),"Complete","Invalid"))</f>
        <v>Complete</v>
      </c>
    </row>
    <row r="463" customFormat="false" ht="84" hidden="false" customHeight="true" outlineLevel="0" collapsed="false">
      <c r="A463" s="8" t="s">
        <v>811</v>
      </c>
      <c r="B463" s="8" t="s">
        <v>312</v>
      </c>
      <c r="C463" s="8" t="s">
        <v>313</v>
      </c>
      <c r="D463" s="8" t="s">
        <v>314</v>
      </c>
      <c r="E463" s="8" t="s">
        <v>771</v>
      </c>
      <c r="F463" s="8" t="s">
        <v>216</v>
      </c>
      <c r="G463" s="8" t="s">
        <v>772</v>
      </c>
      <c r="H463" s="9" t="s">
        <v>132</v>
      </c>
      <c r="I463" s="10"/>
      <c r="J463" s="11" t="n">
        <f aca="false">INT((ROW()-2)/50)+1</f>
        <v>10</v>
      </c>
      <c r="K463" s="11" t="str">
        <f aca="false">IF(H463="","Pending",IF(OR(H463="0",H463="1",H463="2",H463="U"),"Complete","Invalid"))</f>
        <v>Complete</v>
      </c>
    </row>
    <row r="464" customFormat="false" ht="84" hidden="false" customHeight="true" outlineLevel="0" collapsed="false">
      <c r="A464" s="8" t="s">
        <v>812</v>
      </c>
      <c r="B464" s="8" t="s">
        <v>129</v>
      </c>
      <c r="C464" s="8" t="s">
        <v>130</v>
      </c>
      <c r="D464" s="8" t="s">
        <v>131</v>
      </c>
      <c r="E464" s="8" t="s">
        <v>54</v>
      </c>
      <c r="F464" s="8" t="s">
        <v>55</v>
      </c>
      <c r="G464" s="8" t="s">
        <v>56</v>
      </c>
      <c r="H464" s="9" t="s">
        <v>18</v>
      </c>
      <c r="I464" s="10"/>
      <c r="J464" s="11" t="n">
        <f aca="false">INT((ROW()-2)/50)+1</f>
        <v>10</v>
      </c>
      <c r="K464" s="11" t="str">
        <f aca="false">IF(H464="","Pending",IF(OR(H464="0",H464="1",H464="2",H464="U"),"Complete","Invalid"))</f>
        <v>Complete</v>
      </c>
    </row>
    <row r="465" customFormat="false" ht="84" hidden="false" customHeight="true" outlineLevel="0" collapsed="false">
      <c r="A465" s="8" t="s">
        <v>813</v>
      </c>
      <c r="B465" s="8" t="s">
        <v>105</v>
      </c>
      <c r="C465" s="8" t="s">
        <v>106</v>
      </c>
      <c r="D465" s="8" t="s">
        <v>107</v>
      </c>
      <c r="E465" s="8" t="s">
        <v>87</v>
      </c>
      <c r="F465" s="8" t="s">
        <v>88</v>
      </c>
      <c r="G465" s="8" t="s">
        <v>89</v>
      </c>
      <c r="H465" s="9" t="s">
        <v>18</v>
      </c>
      <c r="I465" s="10"/>
      <c r="J465" s="11" t="n">
        <f aca="false">INT((ROW()-2)/50)+1</f>
        <v>10</v>
      </c>
      <c r="K465" s="11" t="str">
        <f aca="false">IF(H465="","Pending",IF(OR(H465="0",H465="1",H465="2",H465="U"),"Complete","Invalid"))</f>
        <v>Complete</v>
      </c>
    </row>
    <row r="466" customFormat="false" ht="84" hidden="false" customHeight="true" outlineLevel="0" collapsed="false">
      <c r="A466" s="8" t="s">
        <v>814</v>
      </c>
      <c r="B466" s="8" t="s">
        <v>134</v>
      </c>
      <c r="C466" s="8" t="s">
        <v>135</v>
      </c>
      <c r="D466" s="8" t="s">
        <v>136</v>
      </c>
      <c r="E466" s="8" t="s">
        <v>201</v>
      </c>
      <c r="F466" s="8" t="s">
        <v>202</v>
      </c>
      <c r="G466" s="8" t="s">
        <v>203</v>
      </c>
      <c r="H466" s="9" t="s">
        <v>18</v>
      </c>
      <c r="I466" s="10"/>
      <c r="J466" s="11" t="n">
        <f aca="false">INT((ROW()-2)/50)+1</f>
        <v>10</v>
      </c>
      <c r="K466" s="11" t="str">
        <f aca="false">IF(H466="","Pending",IF(OR(H466="0",H466="1",H466="2",H466="U"),"Complete","Invalid"))</f>
        <v>Complete</v>
      </c>
    </row>
    <row r="467" customFormat="false" ht="84" hidden="false" customHeight="true" outlineLevel="0" collapsed="false">
      <c r="A467" s="8" t="s">
        <v>815</v>
      </c>
      <c r="B467" s="8" t="s">
        <v>341</v>
      </c>
      <c r="C467" s="8" t="s">
        <v>342</v>
      </c>
      <c r="D467" s="8" t="s">
        <v>343</v>
      </c>
      <c r="E467" s="8" t="s">
        <v>379</v>
      </c>
      <c r="F467" s="8" t="s">
        <v>380</v>
      </c>
      <c r="G467" s="8" t="s">
        <v>381</v>
      </c>
      <c r="H467" s="9" t="s">
        <v>18</v>
      </c>
      <c r="I467" s="10" t="s">
        <v>346</v>
      </c>
      <c r="J467" s="11" t="n">
        <f aca="false">INT((ROW()-2)/50)+1</f>
        <v>10</v>
      </c>
      <c r="K467" s="11" t="str">
        <f aca="false">IF(H467="","Pending",IF(OR(H467="0",H467="1",H467="2",H467="U"),"Complete","Invalid"))</f>
        <v>Complete</v>
      </c>
    </row>
    <row r="468" customFormat="false" ht="84" hidden="false" customHeight="true" outlineLevel="0" collapsed="false">
      <c r="A468" s="8" t="s">
        <v>816</v>
      </c>
      <c r="B468" s="8" t="s">
        <v>123</v>
      </c>
      <c r="C468" s="8" t="s">
        <v>124</v>
      </c>
      <c r="D468" s="8" t="s">
        <v>125</v>
      </c>
      <c r="E468" s="8" t="s">
        <v>445</v>
      </c>
      <c r="F468" s="8" t="s">
        <v>84</v>
      </c>
      <c r="G468" s="8" t="s">
        <v>446</v>
      </c>
      <c r="H468" s="9" t="s">
        <v>18</v>
      </c>
      <c r="I468" s="10"/>
      <c r="J468" s="11" t="n">
        <f aca="false">INT((ROW()-2)/50)+1</f>
        <v>10</v>
      </c>
      <c r="K468" s="11" t="str">
        <f aca="false">IF(H468="","Pending",IF(OR(H468="0",H468="1",H468="2",H468="U"),"Complete","Invalid"))</f>
        <v>Complete</v>
      </c>
    </row>
    <row r="469" customFormat="false" ht="84" hidden="false" customHeight="true" outlineLevel="0" collapsed="false">
      <c r="A469" s="8" t="s">
        <v>817</v>
      </c>
      <c r="B469" s="8" t="s">
        <v>45</v>
      </c>
      <c r="C469" s="8" t="s">
        <v>46</v>
      </c>
      <c r="D469" s="8" t="s">
        <v>47</v>
      </c>
      <c r="E469" s="8" t="s">
        <v>102</v>
      </c>
      <c r="F469" s="8" t="s">
        <v>66</v>
      </c>
      <c r="G469" s="8" t="s">
        <v>103</v>
      </c>
      <c r="H469" s="9" t="s">
        <v>114</v>
      </c>
      <c r="I469" s="10"/>
      <c r="J469" s="11" t="n">
        <f aca="false">INT((ROW()-2)/50)+1</f>
        <v>10</v>
      </c>
      <c r="K469" s="11" t="str">
        <f aca="false">IF(H469="","Pending",IF(OR(H469="0",H469="1",H469="2",H469="U"),"Complete","Invalid"))</f>
        <v>Complete</v>
      </c>
    </row>
    <row r="470" customFormat="false" ht="84" hidden="false" customHeight="true" outlineLevel="0" collapsed="false">
      <c r="A470" s="8" t="s">
        <v>818</v>
      </c>
      <c r="B470" s="8" t="s">
        <v>76</v>
      </c>
      <c r="C470" s="8" t="s">
        <v>77</v>
      </c>
      <c r="D470" s="8" t="s">
        <v>78</v>
      </c>
      <c r="E470" s="8" t="s">
        <v>120</v>
      </c>
      <c r="F470" s="8" t="s">
        <v>31</v>
      </c>
      <c r="G470" s="8" t="s">
        <v>121</v>
      </c>
      <c r="H470" s="9" t="s">
        <v>18</v>
      </c>
      <c r="I470" s="10"/>
      <c r="J470" s="11" t="n">
        <f aca="false">INT((ROW()-2)/50)+1</f>
        <v>10</v>
      </c>
      <c r="K470" s="11" t="str">
        <f aca="false">IF(H470="","Pending",IF(OR(H470="0",H470="1",H470="2",H470="U"),"Complete","Invalid"))</f>
        <v>Complete</v>
      </c>
    </row>
    <row r="471" customFormat="false" ht="84" hidden="false" customHeight="true" outlineLevel="0" collapsed="false">
      <c r="A471" s="8" t="s">
        <v>819</v>
      </c>
      <c r="B471" s="8" t="s">
        <v>91</v>
      </c>
      <c r="C471" s="8" t="s">
        <v>92</v>
      </c>
      <c r="D471" s="8" t="s">
        <v>93</v>
      </c>
      <c r="E471" s="8" t="s">
        <v>141</v>
      </c>
      <c r="F471" s="8" t="s">
        <v>142</v>
      </c>
      <c r="G471" s="8" t="s">
        <v>143</v>
      </c>
      <c r="H471" s="9" t="s">
        <v>114</v>
      </c>
      <c r="I471" s="10"/>
      <c r="J471" s="11" t="n">
        <f aca="false">INT((ROW()-2)/50)+1</f>
        <v>10</v>
      </c>
      <c r="K471" s="11" t="str">
        <f aca="false">IF(H471="","Pending",IF(OR(H471="0",H471="1",H471="2",H471="U"),"Complete","Invalid"))</f>
        <v>Complete</v>
      </c>
    </row>
    <row r="472" customFormat="false" ht="84" hidden="false" customHeight="true" outlineLevel="0" collapsed="false">
      <c r="A472" s="8" t="s">
        <v>820</v>
      </c>
      <c r="B472" s="8" t="s">
        <v>271</v>
      </c>
      <c r="C472" s="8" t="s">
        <v>272</v>
      </c>
      <c r="D472" s="8" t="s">
        <v>273</v>
      </c>
      <c r="E472" s="8" t="s">
        <v>426</v>
      </c>
      <c r="F472" s="8" t="s">
        <v>369</v>
      </c>
      <c r="G472" s="8" t="s">
        <v>427</v>
      </c>
      <c r="H472" s="9" t="s">
        <v>132</v>
      </c>
      <c r="I472" s="10"/>
      <c r="J472" s="11" t="n">
        <f aca="false">INT((ROW()-2)/50)+1</f>
        <v>10</v>
      </c>
      <c r="K472" s="11" t="str">
        <f aca="false">IF(H472="","Pending",IF(OR(H472="0",H472="1",H472="2",H472="U"),"Complete","Invalid"))</f>
        <v>Complete</v>
      </c>
    </row>
    <row r="473" customFormat="false" ht="84" hidden="false" customHeight="true" outlineLevel="0" collapsed="false">
      <c r="A473" s="8" t="s">
        <v>821</v>
      </c>
      <c r="B473" s="8" t="s">
        <v>20</v>
      </c>
      <c r="C473" s="8" t="s">
        <v>21</v>
      </c>
      <c r="D473" s="8" t="s">
        <v>22</v>
      </c>
      <c r="E473" s="8" t="s">
        <v>522</v>
      </c>
      <c r="F473" s="8" t="s">
        <v>24</v>
      </c>
      <c r="G473" s="8" t="s">
        <v>523</v>
      </c>
      <c r="H473" s="9" t="s">
        <v>18</v>
      </c>
      <c r="I473" s="10"/>
      <c r="J473" s="11" t="n">
        <f aca="false">INT((ROW()-2)/50)+1</f>
        <v>10</v>
      </c>
      <c r="K473" s="11" t="str">
        <f aca="false">IF(H473="","Pending",IF(OR(H473="0",H473="1",H473="2",H473="U"),"Complete","Invalid"))</f>
        <v>Complete</v>
      </c>
    </row>
    <row r="474" customFormat="false" ht="84" hidden="false" customHeight="true" outlineLevel="0" collapsed="false">
      <c r="A474" s="8" t="s">
        <v>822</v>
      </c>
      <c r="B474" s="8" t="s">
        <v>171</v>
      </c>
      <c r="C474" s="8" t="s">
        <v>172</v>
      </c>
      <c r="D474" s="8" t="s">
        <v>173</v>
      </c>
      <c r="E474" s="8" t="s">
        <v>319</v>
      </c>
      <c r="F474" s="8" t="s">
        <v>62</v>
      </c>
      <c r="G474" s="8" t="s">
        <v>320</v>
      </c>
      <c r="H474" s="9" t="s">
        <v>18</v>
      </c>
      <c r="I474" s="10"/>
      <c r="J474" s="11" t="n">
        <f aca="false">INT((ROW()-2)/50)+1</f>
        <v>10</v>
      </c>
      <c r="K474" s="11" t="str">
        <f aca="false">IF(H474="","Pending",IF(OR(H474="0",H474="1",H474="2",H474="U"),"Complete","Invalid"))</f>
        <v>Complete</v>
      </c>
    </row>
    <row r="475" customFormat="false" ht="84" hidden="false" customHeight="true" outlineLevel="0" collapsed="false">
      <c r="A475" s="8" t="s">
        <v>823</v>
      </c>
      <c r="B475" s="8" t="s">
        <v>238</v>
      </c>
      <c r="C475" s="8" t="s">
        <v>239</v>
      </c>
      <c r="D475" s="8" t="s">
        <v>240</v>
      </c>
      <c r="E475" s="8" t="s">
        <v>445</v>
      </c>
      <c r="F475" s="8" t="s">
        <v>84</v>
      </c>
      <c r="G475" s="8" t="s">
        <v>446</v>
      </c>
      <c r="H475" s="9" t="s">
        <v>18</v>
      </c>
      <c r="I475" s="10"/>
      <c r="J475" s="11" t="n">
        <f aca="false">INT((ROW()-2)/50)+1</f>
        <v>10</v>
      </c>
      <c r="K475" s="11" t="str">
        <f aca="false">IF(H475="","Pending",IF(OR(H475="0",H475="1",H475="2",H475="U"),"Complete","Invalid"))</f>
        <v>Complete</v>
      </c>
    </row>
    <row r="476" customFormat="false" ht="84" hidden="false" customHeight="true" outlineLevel="0" collapsed="false">
      <c r="A476" s="8" t="s">
        <v>824</v>
      </c>
      <c r="B476" s="8" t="s">
        <v>238</v>
      </c>
      <c r="C476" s="8" t="s">
        <v>239</v>
      </c>
      <c r="D476" s="8" t="s">
        <v>240</v>
      </c>
      <c r="E476" s="8" t="s">
        <v>72</v>
      </c>
      <c r="F476" s="8" t="s">
        <v>73</v>
      </c>
      <c r="G476" s="8" t="s">
        <v>74</v>
      </c>
      <c r="H476" s="9" t="s">
        <v>18</v>
      </c>
      <c r="I476" s="10"/>
      <c r="J476" s="11" t="n">
        <f aca="false">INT((ROW()-2)/50)+1</f>
        <v>10</v>
      </c>
      <c r="K476" s="11" t="str">
        <f aca="false">IF(H476="","Pending",IF(OR(H476="0",H476="1",H476="2",H476="U"),"Complete","Invalid"))</f>
        <v>Complete</v>
      </c>
    </row>
    <row r="477" customFormat="false" ht="84" hidden="false" customHeight="true" outlineLevel="0" collapsed="false">
      <c r="A477" s="8" t="s">
        <v>825</v>
      </c>
      <c r="B477" s="8" t="s">
        <v>238</v>
      </c>
      <c r="C477" s="8" t="s">
        <v>239</v>
      </c>
      <c r="D477" s="8" t="s">
        <v>240</v>
      </c>
      <c r="E477" s="8" t="s">
        <v>126</v>
      </c>
      <c r="F477" s="8" t="s">
        <v>73</v>
      </c>
      <c r="G477" s="8" t="s">
        <v>127</v>
      </c>
      <c r="H477" s="9" t="s">
        <v>18</v>
      </c>
      <c r="I477" s="10"/>
      <c r="J477" s="11" t="n">
        <f aca="false">INT((ROW()-2)/50)+1</f>
        <v>10</v>
      </c>
      <c r="K477" s="11" t="str">
        <f aca="false">IF(H477="","Pending",IF(OR(H477="0",H477="1",H477="2",H477="U"),"Complete","Invalid"))</f>
        <v>Complete</v>
      </c>
    </row>
    <row r="478" customFormat="false" ht="84" hidden="false" customHeight="true" outlineLevel="0" collapsed="false">
      <c r="A478" s="8" t="s">
        <v>826</v>
      </c>
      <c r="B478" s="8" t="s">
        <v>123</v>
      </c>
      <c r="C478" s="8" t="s">
        <v>124</v>
      </c>
      <c r="D478" s="8" t="s">
        <v>125</v>
      </c>
      <c r="E478" s="8" t="s">
        <v>158</v>
      </c>
      <c r="F478" s="8" t="s">
        <v>38</v>
      </c>
      <c r="G478" s="8" t="s">
        <v>159</v>
      </c>
      <c r="H478" s="9" t="s">
        <v>18</v>
      </c>
      <c r="I478" s="10"/>
      <c r="J478" s="11" t="n">
        <f aca="false">INT((ROW()-2)/50)+1</f>
        <v>10</v>
      </c>
      <c r="K478" s="11" t="str">
        <f aca="false">IF(H478="","Pending",IF(OR(H478="0",H478="1",H478="2",H478="U"),"Complete","Invalid"))</f>
        <v>Complete</v>
      </c>
    </row>
    <row r="479" customFormat="false" ht="84" hidden="false" customHeight="true" outlineLevel="0" collapsed="false">
      <c r="A479" s="8" t="s">
        <v>827</v>
      </c>
      <c r="B479" s="8" t="s">
        <v>51</v>
      </c>
      <c r="C479" s="8" t="s">
        <v>52</v>
      </c>
      <c r="D479" s="8" t="s">
        <v>53</v>
      </c>
      <c r="E479" s="8" t="s">
        <v>559</v>
      </c>
      <c r="F479" s="8" t="s">
        <v>202</v>
      </c>
      <c r="G479" s="8" t="s">
        <v>560</v>
      </c>
      <c r="H479" s="9" t="s">
        <v>114</v>
      </c>
      <c r="I479" s="10"/>
      <c r="J479" s="11" t="n">
        <f aca="false">INT((ROW()-2)/50)+1</f>
        <v>10</v>
      </c>
      <c r="K479" s="11" t="str">
        <f aca="false">IF(H479="","Pending",IF(OR(H479="0",H479="1",H479="2",H479="U"),"Complete","Invalid"))</f>
        <v>Complete</v>
      </c>
    </row>
    <row r="480" customFormat="false" ht="84" hidden="false" customHeight="true" outlineLevel="0" collapsed="false">
      <c r="A480" s="8" t="s">
        <v>828</v>
      </c>
      <c r="B480" s="8" t="s">
        <v>219</v>
      </c>
      <c r="C480" s="8" t="s">
        <v>220</v>
      </c>
      <c r="D480" s="8" t="s">
        <v>221</v>
      </c>
      <c r="E480" s="8" t="s">
        <v>282</v>
      </c>
      <c r="F480" s="8" t="s">
        <v>24</v>
      </c>
      <c r="G480" s="8" t="s">
        <v>283</v>
      </c>
      <c r="H480" s="9" t="s">
        <v>18</v>
      </c>
      <c r="I480" s="10"/>
      <c r="J480" s="11" t="n">
        <f aca="false">INT((ROW()-2)/50)+1</f>
        <v>10</v>
      </c>
      <c r="K480" s="11" t="str">
        <f aca="false">IF(H480="","Pending",IF(OR(H480="0",H480="1",H480="2",H480="U"),"Complete","Invalid"))</f>
        <v>Complete</v>
      </c>
    </row>
    <row r="481" customFormat="false" ht="84" hidden="false" customHeight="true" outlineLevel="0" collapsed="false">
      <c r="A481" s="8" t="s">
        <v>829</v>
      </c>
      <c r="B481" s="8" t="s">
        <v>45</v>
      </c>
      <c r="C481" s="8" t="s">
        <v>46</v>
      </c>
      <c r="D481" s="8" t="s">
        <v>47</v>
      </c>
      <c r="E481" s="8" t="s">
        <v>426</v>
      </c>
      <c r="F481" s="8" t="s">
        <v>369</v>
      </c>
      <c r="G481" s="8" t="s">
        <v>427</v>
      </c>
      <c r="H481" s="9" t="s">
        <v>18</v>
      </c>
      <c r="I481" s="10"/>
      <c r="J481" s="11" t="n">
        <f aca="false">INT((ROW()-2)/50)+1</f>
        <v>10</v>
      </c>
      <c r="K481" s="11" t="str">
        <f aca="false">IF(H481="","Pending",IF(OR(H481="0",H481="1",H481="2",H481="U"),"Complete","Invalid"))</f>
        <v>Complete</v>
      </c>
    </row>
    <row r="482" customFormat="false" ht="84" hidden="false" customHeight="true" outlineLevel="0" collapsed="false">
      <c r="A482" s="8" t="s">
        <v>830</v>
      </c>
      <c r="B482" s="8" t="s">
        <v>341</v>
      </c>
      <c r="C482" s="8" t="s">
        <v>342</v>
      </c>
      <c r="D482" s="8" t="s">
        <v>343</v>
      </c>
      <c r="E482" s="8" t="s">
        <v>112</v>
      </c>
      <c r="F482" s="8" t="s">
        <v>88</v>
      </c>
      <c r="G482" s="8" t="s">
        <v>113</v>
      </c>
      <c r="H482" s="9" t="s">
        <v>114</v>
      </c>
      <c r="I482" s="10" t="s">
        <v>831</v>
      </c>
      <c r="J482" s="11" t="n">
        <f aca="false">INT((ROW()-2)/50)+1</f>
        <v>10</v>
      </c>
      <c r="K482" s="11" t="str">
        <f aca="false">IF(H482="","Pending",IF(OR(H482="0",H482="1",H482="2",H482="U"),"Complete","Invalid"))</f>
        <v>Complete</v>
      </c>
    </row>
    <row r="483" customFormat="false" ht="84" hidden="false" customHeight="true" outlineLevel="0" collapsed="false">
      <c r="A483" s="8" t="s">
        <v>832</v>
      </c>
      <c r="B483" s="8" t="s">
        <v>69</v>
      </c>
      <c r="C483" s="8" t="s">
        <v>70</v>
      </c>
      <c r="D483" s="8" t="s">
        <v>71</v>
      </c>
      <c r="E483" s="8" t="s">
        <v>672</v>
      </c>
      <c r="F483" s="8" t="s">
        <v>216</v>
      </c>
      <c r="G483" s="8" t="s">
        <v>673</v>
      </c>
      <c r="H483" s="9" t="s">
        <v>114</v>
      </c>
      <c r="I483" s="10"/>
      <c r="J483" s="11" t="n">
        <f aca="false">INT((ROW()-2)/50)+1</f>
        <v>10</v>
      </c>
      <c r="K483" s="11" t="str">
        <f aca="false">IF(H483="","Pending",IF(OR(H483="0",H483="1",H483="2",H483="U"),"Complete","Invalid"))</f>
        <v>Complete</v>
      </c>
    </row>
    <row r="484" customFormat="false" ht="84" hidden="false" customHeight="true" outlineLevel="0" collapsed="false">
      <c r="A484" s="8" t="s">
        <v>833</v>
      </c>
      <c r="B484" s="8" t="s">
        <v>98</v>
      </c>
      <c r="C484" s="8" t="s">
        <v>99</v>
      </c>
      <c r="D484" s="8" t="s">
        <v>100</v>
      </c>
      <c r="E484" s="8" t="s">
        <v>48</v>
      </c>
      <c r="F484" s="8" t="s">
        <v>24</v>
      </c>
      <c r="G484" s="8" t="s">
        <v>49</v>
      </c>
      <c r="H484" s="9" t="s">
        <v>114</v>
      </c>
      <c r="I484" s="10" t="s">
        <v>834</v>
      </c>
      <c r="J484" s="11" t="n">
        <f aca="false">INT((ROW()-2)/50)+1</f>
        <v>10</v>
      </c>
      <c r="K484" s="11" t="str">
        <f aca="false">IF(H484="","Pending",IF(OR(H484="0",H484="1",H484="2",H484="U"),"Complete","Invalid"))</f>
        <v>Complete</v>
      </c>
    </row>
    <row r="485" customFormat="false" ht="84" hidden="false" customHeight="true" outlineLevel="0" collapsed="false">
      <c r="A485" s="8" t="s">
        <v>835</v>
      </c>
      <c r="B485" s="8" t="s">
        <v>12</v>
      </c>
      <c r="C485" s="8" t="s">
        <v>13</v>
      </c>
      <c r="D485" s="8" t="s">
        <v>14</v>
      </c>
      <c r="E485" s="8" t="s">
        <v>72</v>
      </c>
      <c r="F485" s="8" t="s">
        <v>73</v>
      </c>
      <c r="G485" s="8" t="s">
        <v>74</v>
      </c>
      <c r="H485" s="9" t="s">
        <v>18</v>
      </c>
      <c r="I485" s="10"/>
      <c r="J485" s="11" t="n">
        <f aca="false">INT((ROW()-2)/50)+1</f>
        <v>10</v>
      </c>
      <c r="K485" s="11" t="str">
        <f aca="false">IF(H485="","Pending",IF(OR(H485="0",H485="1",H485="2",H485="U"),"Complete","Invalid"))</f>
        <v>Complete</v>
      </c>
    </row>
    <row r="486" customFormat="false" ht="84" hidden="false" customHeight="true" outlineLevel="0" collapsed="false">
      <c r="A486" s="8" t="s">
        <v>836</v>
      </c>
      <c r="B486" s="8" t="s">
        <v>34</v>
      </c>
      <c r="C486" s="8" t="s">
        <v>35</v>
      </c>
      <c r="D486" s="8" t="s">
        <v>36</v>
      </c>
      <c r="E486" s="8" t="s">
        <v>161</v>
      </c>
      <c r="F486" s="8" t="s">
        <v>117</v>
      </c>
      <c r="G486" s="8" t="s">
        <v>162</v>
      </c>
      <c r="H486" s="9" t="s">
        <v>132</v>
      </c>
      <c r="I486" s="10"/>
      <c r="J486" s="11" t="n">
        <f aca="false">INT((ROW()-2)/50)+1</f>
        <v>10</v>
      </c>
      <c r="K486" s="11" t="str">
        <f aca="false">IF(H486="","Pending",IF(OR(H486="0",H486="1",H486="2",H486="U"),"Complete","Invalid"))</f>
        <v>Complete</v>
      </c>
    </row>
    <row r="487" customFormat="false" ht="84" hidden="false" customHeight="true" outlineLevel="0" collapsed="false">
      <c r="A487" s="8" t="s">
        <v>837</v>
      </c>
      <c r="B487" s="8" t="s">
        <v>189</v>
      </c>
      <c r="C487" s="8" t="s">
        <v>190</v>
      </c>
      <c r="D487" s="8" t="s">
        <v>191</v>
      </c>
      <c r="E487" s="8" t="s">
        <v>282</v>
      </c>
      <c r="F487" s="8" t="s">
        <v>24</v>
      </c>
      <c r="G487" s="8" t="s">
        <v>283</v>
      </c>
      <c r="H487" s="9" t="s">
        <v>132</v>
      </c>
      <c r="I487" s="10"/>
      <c r="J487" s="11" t="n">
        <f aca="false">INT((ROW()-2)/50)+1</f>
        <v>10</v>
      </c>
      <c r="K487" s="11" t="str">
        <f aca="false">IF(H487="","Pending",IF(OR(H487="0",H487="1",H487="2",H487="U"),"Complete","Invalid"))</f>
        <v>Complete</v>
      </c>
    </row>
    <row r="488" customFormat="false" ht="84" hidden="false" customHeight="true" outlineLevel="0" collapsed="false">
      <c r="A488" s="8" t="s">
        <v>838</v>
      </c>
      <c r="B488" s="8" t="s">
        <v>123</v>
      </c>
      <c r="C488" s="8" t="s">
        <v>124</v>
      </c>
      <c r="D488" s="8" t="s">
        <v>125</v>
      </c>
      <c r="E488" s="8" t="s">
        <v>65</v>
      </c>
      <c r="F488" s="8" t="s">
        <v>66</v>
      </c>
      <c r="G488" s="8" t="s">
        <v>67</v>
      </c>
      <c r="H488" s="9" t="s">
        <v>18</v>
      </c>
      <c r="I488" s="10"/>
      <c r="J488" s="11" t="n">
        <f aca="false">INT((ROW()-2)/50)+1</f>
        <v>10</v>
      </c>
      <c r="K488" s="11" t="str">
        <f aca="false">IF(H488="","Pending",IF(OR(H488="0",H488="1",H488="2",H488="U"),"Complete","Invalid"))</f>
        <v>Complete</v>
      </c>
    </row>
    <row r="489" customFormat="false" ht="84" hidden="false" customHeight="true" outlineLevel="0" collapsed="false">
      <c r="A489" s="8" t="s">
        <v>839</v>
      </c>
      <c r="B489" s="8" t="s">
        <v>45</v>
      </c>
      <c r="C489" s="8" t="s">
        <v>46</v>
      </c>
      <c r="D489" s="8" t="s">
        <v>47</v>
      </c>
      <c r="E489" s="8" t="s">
        <v>174</v>
      </c>
      <c r="F489" s="8" t="s">
        <v>16</v>
      </c>
      <c r="G489" s="8" t="s">
        <v>175</v>
      </c>
      <c r="H489" s="9" t="s">
        <v>132</v>
      </c>
      <c r="I489" s="10"/>
      <c r="J489" s="11" t="n">
        <f aca="false">INT((ROW()-2)/50)+1</f>
        <v>10</v>
      </c>
      <c r="K489" s="11" t="str">
        <f aca="false">IF(H489="","Pending",IF(OR(H489="0",H489="1",H489="2",H489="U"),"Complete","Invalid"))</f>
        <v>Complete</v>
      </c>
    </row>
    <row r="490" customFormat="false" ht="84" hidden="false" customHeight="true" outlineLevel="0" collapsed="false">
      <c r="A490" s="8" t="s">
        <v>840</v>
      </c>
      <c r="B490" s="8" t="s">
        <v>27</v>
      </c>
      <c r="C490" s="8" t="s">
        <v>28</v>
      </c>
      <c r="D490" s="8" t="s">
        <v>29</v>
      </c>
      <c r="E490" s="8" t="s">
        <v>186</v>
      </c>
      <c r="F490" s="8" t="s">
        <v>73</v>
      </c>
      <c r="G490" s="8" t="s">
        <v>187</v>
      </c>
      <c r="H490" s="9" t="s">
        <v>18</v>
      </c>
      <c r="I490" s="10"/>
      <c r="J490" s="11" t="n">
        <f aca="false">INT((ROW()-2)/50)+1</f>
        <v>10</v>
      </c>
      <c r="K490" s="11" t="str">
        <f aca="false">IF(H490="","Pending",IF(OR(H490="0",H490="1",H490="2",H490="U"),"Complete","Invalid"))</f>
        <v>Complete</v>
      </c>
    </row>
    <row r="491" customFormat="false" ht="84" hidden="false" customHeight="true" outlineLevel="0" collapsed="false">
      <c r="A491" s="8" t="s">
        <v>841</v>
      </c>
      <c r="B491" s="8" t="s">
        <v>12</v>
      </c>
      <c r="C491" s="8" t="s">
        <v>13</v>
      </c>
      <c r="D491" s="8" t="s">
        <v>14</v>
      </c>
      <c r="E491" s="8" t="s">
        <v>304</v>
      </c>
      <c r="F491" s="8" t="s">
        <v>73</v>
      </c>
      <c r="G491" s="8" t="s">
        <v>305</v>
      </c>
      <c r="H491" s="9" t="s">
        <v>18</v>
      </c>
      <c r="I491" s="10"/>
      <c r="J491" s="11" t="n">
        <f aca="false">INT((ROW()-2)/50)+1</f>
        <v>10</v>
      </c>
      <c r="K491" s="11" t="str">
        <f aca="false">IF(H491="","Pending",IF(OR(H491="0",H491="1",H491="2",H491="U"),"Complete","Invalid"))</f>
        <v>Complete</v>
      </c>
    </row>
    <row r="492" customFormat="false" ht="84" hidden="false" customHeight="true" outlineLevel="0" collapsed="false">
      <c r="A492" s="8" t="s">
        <v>842</v>
      </c>
      <c r="B492" s="8" t="s">
        <v>123</v>
      </c>
      <c r="C492" s="8" t="s">
        <v>124</v>
      </c>
      <c r="D492" s="8" t="s">
        <v>125</v>
      </c>
      <c r="E492" s="8" t="s">
        <v>401</v>
      </c>
      <c r="F492" s="8" t="s">
        <v>31</v>
      </c>
      <c r="G492" s="8" t="s">
        <v>402</v>
      </c>
      <c r="H492" s="9" t="s">
        <v>18</v>
      </c>
      <c r="I492" s="10"/>
      <c r="J492" s="11" t="n">
        <f aca="false">INT((ROW()-2)/50)+1</f>
        <v>10</v>
      </c>
      <c r="K492" s="11" t="str">
        <f aca="false">IF(H492="","Pending",IF(OR(H492="0",H492="1",H492="2",H492="U"),"Complete","Invalid"))</f>
        <v>Complete</v>
      </c>
    </row>
    <row r="493" customFormat="false" ht="84" hidden="false" customHeight="true" outlineLevel="0" collapsed="false">
      <c r="A493" s="8" t="s">
        <v>843</v>
      </c>
      <c r="B493" s="8" t="s">
        <v>20</v>
      </c>
      <c r="C493" s="8" t="s">
        <v>21</v>
      </c>
      <c r="D493" s="8" t="s">
        <v>22</v>
      </c>
      <c r="E493" s="8" t="s">
        <v>844</v>
      </c>
      <c r="F493" s="8" t="s">
        <v>263</v>
      </c>
      <c r="G493" s="8" t="s">
        <v>845</v>
      </c>
      <c r="H493" s="9" t="s">
        <v>132</v>
      </c>
      <c r="I493" s="10"/>
      <c r="J493" s="11" t="n">
        <f aca="false">INT((ROW()-2)/50)+1</f>
        <v>10</v>
      </c>
      <c r="K493" s="11" t="str">
        <f aca="false">IF(H493="","Pending",IF(OR(H493="0",H493="1",H493="2",H493="U"),"Complete","Invalid"))</f>
        <v>Complete</v>
      </c>
    </row>
    <row r="494" customFormat="false" ht="84" hidden="false" customHeight="true" outlineLevel="0" collapsed="false">
      <c r="A494" s="8" t="s">
        <v>846</v>
      </c>
      <c r="B494" s="8" t="s">
        <v>91</v>
      </c>
      <c r="C494" s="8" t="s">
        <v>92</v>
      </c>
      <c r="D494" s="8" t="s">
        <v>93</v>
      </c>
      <c r="E494" s="8" t="s">
        <v>275</v>
      </c>
      <c r="F494" s="8" t="s">
        <v>142</v>
      </c>
      <c r="G494" s="8" t="s">
        <v>276</v>
      </c>
      <c r="H494" s="9" t="s">
        <v>132</v>
      </c>
      <c r="I494" s="10"/>
      <c r="J494" s="11" t="n">
        <f aca="false">INT((ROW()-2)/50)+1</f>
        <v>10</v>
      </c>
      <c r="K494" s="11" t="str">
        <f aca="false">IF(H494="","Pending",IF(OR(H494="0",H494="1",H494="2",H494="U"),"Complete","Invalid"))</f>
        <v>Complete</v>
      </c>
    </row>
    <row r="495" customFormat="false" ht="84" hidden="false" customHeight="true" outlineLevel="0" collapsed="false">
      <c r="A495" s="8" t="s">
        <v>847</v>
      </c>
      <c r="B495" s="8" t="s">
        <v>91</v>
      </c>
      <c r="C495" s="8" t="s">
        <v>92</v>
      </c>
      <c r="D495" s="8" t="s">
        <v>93</v>
      </c>
      <c r="E495" s="8" t="s">
        <v>87</v>
      </c>
      <c r="F495" s="8" t="s">
        <v>88</v>
      </c>
      <c r="G495" s="8" t="s">
        <v>89</v>
      </c>
      <c r="H495" s="9" t="s">
        <v>132</v>
      </c>
      <c r="I495" s="10"/>
      <c r="J495" s="11" t="n">
        <f aca="false">INT((ROW()-2)/50)+1</f>
        <v>10</v>
      </c>
      <c r="K495" s="11" t="str">
        <f aca="false">IF(H495="","Pending",IF(OR(H495="0",H495="1",H495="2",H495="U"),"Complete","Invalid"))</f>
        <v>Complete</v>
      </c>
    </row>
    <row r="496" customFormat="false" ht="84" hidden="false" customHeight="true" outlineLevel="0" collapsed="false">
      <c r="A496" s="8" t="s">
        <v>848</v>
      </c>
      <c r="B496" s="8" t="s">
        <v>58</v>
      </c>
      <c r="C496" s="8" t="s">
        <v>59</v>
      </c>
      <c r="D496" s="8" t="s">
        <v>60</v>
      </c>
      <c r="E496" s="8" t="s">
        <v>622</v>
      </c>
      <c r="F496" s="8" t="s">
        <v>95</v>
      </c>
      <c r="G496" s="8" t="s">
        <v>623</v>
      </c>
      <c r="H496" s="9" t="s">
        <v>18</v>
      </c>
      <c r="I496" s="10"/>
      <c r="J496" s="11" t="n">
        <f aca="false">INT((ROW()-2)/50)+1</f>
        <v>10</v>
      </c>
      <c r="K496" s="11" t="str">
        <f aca="false">IF(H496="","Pending",IF(OR(H496="0",H496="1",H496="2",H496="U"),"Complete","Invalid"))</f>
        <v>Complete</v>
      </c>
    </row>
    <row r="497" customFormat="false" ht="84" hidden="false" customHeight="true" outlineLevel="0" collapsed="false">
      <c r="A497" s="8" t="s">
        <v>849</v>
      </c>
      <c r="B497" s="8" t="s">
        <v>34</v>
      </c>
      <c r="C497" s="8" t="s">
        <v>35</v>
      </c>
      <c r="D497" s="8" t="s">
        <v>36</v>
      </c>
      <c r="E497" s="8" t="s">
        <v>278</v>
      </c>
      <c r="F497" s="8" t="s">
        <v>31</v>
      </c>
      <c r="G497" s="8" t="s">
        <v>279</v>
      </c>
      <c r="H497" s="9" t="s">
        <v>18</v>
      </c>
      <c r="I497" s="10"/>
      <c r="J497" s="11" t="n">
        <f aca="false">INT((ROW()-2)/50)+1</f>
        <v>10</v>
      </c>
      <c r="K497" s="11" t="str">
        <f aca="false">IF(H497="","Pending",IF(OR(H497="0",H497="1",H497="2",H497="U"),"Complete","Invalid"))</f>
        <v>Complete</v>
      </c>
    </row>
    <row r="498" customFormat="false" ht="84" hidden="false" customHeight="true" outlineLevel="0" collapsed="false">
      <c r="A498" s="8" t="s">
        <v>850</v>
      </c>
      <c r="B498" s="8" t="s">
        <v>20</v>
      </c>
      <c r="C498" s="8" t="s">
        <v>21</v>
      </c>
      <c r="D498" s="8" t="s">
        <v>22</v>
      </c>
      <c r="E498" s="8" t="s">
        <v>252</v>
      </c>
      <c r="F498" s="8" t="s">
        <v>138</v>
      </c>
      <c r="G498" s="8" t="s">
        <v>253</v>
      </c>
      <c r="H498" s="9" t="s">
        <v>18</v>
      </c>
      <c r="I498" s="10"/>
      <c r="J498" s="11" t="n">
        <f aca="false">INT((ROW()-2)/50)+1</f>
        <v>10</v>
      </c>
      <c r="K498" s="11" t="str">
        <f aca="false">IF(H498="","Pending",IF(OR(H498="0",H498="1",H498="2",H498="U"),"Complete","Invalid"))</f>
        <v>Complete</v>
      </c>
    </row>
    <row r="499" customFormat="false" ht="84" hidden="false" customHeight="true" outlineLevel="0" collapsed="false">
      <c r="A499" s="8" t="s">
        <v>851</v>
      </c>
      <c r="B499" s="8" t="s">
        <v>198</v>
      </c>
      <c r="C499" s="8" t="s">
        <v>199</v>
      </c>
      <c r="D499" s="8" t="s">
        <v>200</v>
      </c>
      <c r="E499" s="8" t="s">
        <v>161</v>
      </c>
      <c r="F499" s="8" t="s">
        <v>117</v>
      </c>
      <c r="G499" s="8" t="s">
        <v>162</v>
      </c>
      <c r="H499" s="9" t="s">
        <v>132</v>
      </c>
      <c r="I499" s="10"/>
      <c r="J499" s="11" t="n">
        <f aca="false">INT((ROW()-2)/50)+1</f>
        <v>10</v>
      </c>
      <c r="K499" s="11" t="str">
        <f aca="false">IF(H499="","Pending",IF(OR(H499="0",H499="1",H499="2",H499="U"),"Complete","Invalid"))</f>
        <v>Complete</v>
      </c>
    </row>
    <row r="500" customFormat="false" ht="84" hidden="false" customHeight="true" outlineLevel="0" collapsed="false">
      <c r="A500" s="8" t="s">
        <v>852</v>
      </c>
      <c r="B500" s="8" t="s">
        <v>129</v>
      </c>
      <c r="C500" s="8" t="s">
        <v>130</v>
      </c>
      <c r="D500" s="8" t="s">
        <v>131</v>
      </c>
      <c r="E500" s="8" t="s">
        <v>30</v>
      </c>
      <c r="F500" s="8" t="s">
        <v>31</v>
      </c>
      <c r="G500" s="8" t="s">
        <v>32</v>
      </c>
      <c r="H500" s="9" t="s">
        <v>18</v>
      </c>
      <c r="I500" s="10"/>
      <c r="J500" s="11" t="n">
        <f aca="false">INT((ROW()-2)/50)+1</f>
        <v>10</v>
      </c>
      <c r="K500" s="11" t="str">
        <f aca="false">IF(H500="","Pending",IF(OR(H500="0",H500="1",H500="2",H500="U"),"Complete","Invalid"))</f>
        <v>Complete</v>
      </c>
    </row>
    <row r="501" customFormat="false" ht="84" hidden="false" customHeight="true" outlineLevel="0" collapsed="false">
      <c r="A501" s="8" t="s">
        <v>853</v>
      </c>
      <c r="B501" s="8" t="s">
        <v>223</v>
      </c>
      <c r="C501" s="8" t="s">
        <v>224</v>
      </c>
      <c r="D501" s="8" t="s">
        <v>225</v>
      </c>
      <c r="E501" s="8" t="s">
        <v>481</v>
      </c>
      <c r="F501" s="8" t="s">
        <v>31</v>
      </c>
      <c r="G501" s="8" t="s">
        <v>482</v>
      </c>
      <c r="H501" s="9" t="s">
        <v>18</v>
      </c>
      <c r="I501" s="10"/>
      <c r="J501" s="11" t="n">
        <f aca="false">INT((ROW()-2)/50)+1</f>
        <v>10</v>
      </c>
      <c r="K501" s="11" t="str">
        <f aca="false">IF(H501="","Pending",IF(OR(H501="0",H501="1",H501="2",H501="U"),"Complete","Invalid"))</f>
        <v>Complete</v>
      </c>
    </row>
    <row r="502" customFormat="false" ht="84" hidden="false" customHeight="true" outlineLevel="0" collapsed="false">
      <c r="A502" s="8" t="s">
        <v>854</v>
      </c>
      <c r="B502" s="8" t="s">
        <v>167</v>
      </c>
      <c r="C502" s="8" t="s">
        <v>168</v>
      </c>
      <c r="D502" s="8" t="s">
        <v>169</v>
      </c>
      <c r="E502" s="8" t="s">
        <v>344</v>
      </c>
      <c r="F502" s="8" t="s">
        <v>142</v>
      </c>
      <c r="G502" s="8" t="s">
        <v>345</v>
      </c>
      <c r="H502" s="9" t="s">
        <v>114</v>
      </c>
      <c r="I502" s="10"/>
      <c r="J502" s="11" t="n">
        <f aca="false">INT((ROW()-2)/50)+1</f>
        <v>11</v>
      </c>
      <c r="K502" s="11" t="str">
        <f aca="false">IF(H502="","Pending",IF(OR(H502="0",H502="1",H502="2",H502="U"),"Complete","Invalid"))</f>
        <v>Complete</v>
      </c>
    </row>
    <row r="503" customFormat="false" ht="84" hidden="false" customHeight="true" outlineLevel="0" collapsed="false">
      <c r="A503" s="8" t="s">
        <v>855</v>
      </c>
      <c r="B503" s="8" t="s">
        <v>41</v>
      </c>
      <c r="C503" s="8" t="s">
        <v>42</v>
      </c>
      <c r="D503" s="8" t="s">
        <v>43</v>
      </c>
      <c r="E503" s="8" t="s">
        <v>356</v>
      </c>
      <c r="F503" s="8" t="s">
        <v>66</v>
      </c>
      <c r="G503" s="8" t="s">
        <v>357</v>
      </c>
      <c r="H503" s="9" t="s">
        <v>18</v>
      </c>
      <c r="I503" s="10"/>
      <c r="J503" s="11" t="n">
        <f aca="false">INT((ROW()-2)/50)+1</f>
        <v>11</v>
      </c>
      <c r="K503" s="11" t="str">
        <f aca="false">IF(H503="","Pending",IF(OR(H503="0",H503="1",H503="2",H503="U"),"Complete","Invalid"))</f>
        <v>Complete</v>
      </c>
    </row>
    <row r="504" customFormat="false" ht="84" hidden="false" customHeight="true" outlineLevel="0" collapsed="false">
      <c r="A504" s="8" t="s">
        <v>856</v>
      </c>
      <c r="B504" s="8" t="s">
        <v>223</v>
      </c>
      <c r="C504" s="8" t="s">
        <v>224</v>
      </c>
      <c r="D504" s="8" t="s">
        <v>225</v>
      </c>
      <c r="E504" s="8" t="s">
        <v>126</v>
      </c>
      <c r="F504" s="8" t="s">
        <v>73</v>
      </c>
      <c r="G504" s="8" t="s">
        <v>127</v>
      </c>
      <c r="H504" s="9" t="s">
        <v>18</v>
      </c>
      <c r="I504" s="10"/>
      <c r="J504" s="11" t="n">
        <f aca="false">INT((ROW()-2)/50)+1</f>
        <v>11</v>
      </c>
      <c r="K504" s="11" t="str">
        <f aca="false">IF(H504="","Pending",IF(OR(H504="0",H504="1",H504="2",H504="U"),"Complete","Invalid"))</f>
        <v>Complete</v>
      </c>
    </row>
    <row r="505" customFormat="false" ht="84" hidden="false" customHeight="true" outlineLevel="0" collapsed="false">
      <c r="A505" s="8" t="s">
        <v>857</v>
      </c>
      <c r="B505" s="8" t="s">
        <v>134</v>
      </c>
      <c r="C505" s="8" t="s">
        <v>135</v>
      </c>
      <c r="D505" s="8" t="s">
        <v>136</v>
      </c>
      <c r="E505" s="8" t="s">
        <v>622</v>
      </c>
      <c r="F505" s="8" t="s">
        <v>95</v>
      </c>
      <c r="G505" s="8" t="s">
        <v>623</v>
      </c>
      <c r="H505" s="9" t="s">
        <v>114</v>
      </c>
      <c r="I505" s="10"/>
      <c r="J505" s="11" t="n">
        <f aca="false">INT((ROW()-2)/50)+1</f>
        <v>11</v>
      </c>
      <c r="K505" s="11" t="str">
        <f aca="false">IF(H505="","Pending",IF(OR(H505="0",H505="1",H505="2",H505="U"),"Complete","Invalid"))</f>
        <v>Complete</v>
      </c>
    </row>
    <row r="506" customFormat="false" ht="84" hidden="false" customHeight="true" outlineLevel="0" collapsed="false">
      <c r="A506" s="8" t="s">
        <v>858</v>
      </c>
      <c r="B506" s="8" t="s">
        <v>20</v>
      </c>
      <c r="C506" s="8" t="s">
        <v>21</v>
      </c>
      <c r="D506" s="8" t="s">
        <v>22</v>
      </c>
      <c r="E506" s="8" t="s">
        <v>48</v>
      </c>
      <c r="F506" s="8" t="s">
        <v>24</v>
      </c>
      <c r="G506" s="8" t="s">
        <v>49</v>
      </c>
      <c r="H506" s="9" t="s">
        <v>18</v>
      </c>
      <c r="I506" s="10"/>
      <c r="J506" s="11" t="n">
        <f aca="false">INT((ROW()-2)/50)+1</f>
        <v>11</v>
      </c>
      <c r="K506" s="11" t="str">
        <f aca="false">IF(H506="","Pending",IF(OR(H506="0",H506="1",H506="2",H506="U"),"Complete","Invalid"))</f>
        <v>Complete</v>
      </c>
    </row>
    <row r="507" customFormat="false" ht="84" hidden="false" customHeight="true" outlineLevel="0" collapsed="false">
      <c r="A507" s="8" t="s">
        <v>859</v>
      </c>
      <c r="B507" s="8" t="s">
        <v>129</v>
      </c>
      <c r="C507" s="8" t="s">
        <v>130</v>
      </c>
      <c r="D507" s="8" t="s">
        <v>131</v>
      </c>
      <c r="E507" s="8" t="s">
        <v>186</v>
      </c>
      <c r="F507" s="8" t="s">
        <v>73</v>
      </c>
      <c r="G507" s="8" t="s">
        <v>187</v>
      </c>
      <c r="H507" s="9" t="s">
        <v>18</v>
      </c>
      <c r="I507" s="10"/>
      <c r="J507" s="11" t="n">
        <f aca="false">INT((ROW()-2)/50)+1</f>
        <v>11</v>
      </c>
      <c r="K507" s="11" t="str">
        <f aca="false">IF(H507="","Pending",IF(OR(H507="0",H507="1",H507="2",H507="U"),"Complete","Invalid"))</f>
        <v>Complete</v>
      </c>
    </row>
    <row r="508" customFormat="false" ht="84" hidden="false" customHeight="true" outlineLevel="0" collapsed="false">
      <c r="A508" s="8" t="s">
        <v>860</v>
      </c>
      <c r="B508" s="8" t="s">
        <v>105</v>
      </c>
      <c r="C508" s="8" t="s">
        <v>106</v>
      </c>
      <c r="D508" s="8" t="s">
        <v>107</v>
      </c>
      <c r="E508" s="8" t="s">
        <v>244</v>
      </c>
      <c r="F508" s="8" t="s">
        <v>245</v>
      </c>
      <c r="G508" s="8" t="s">
        <v>246</v>
      </c>
      <c r="H508" s="9" t="s">
        <v>18</v>
      </c>
      <c r="I508" s="10"/>
      <c r="J508" s="11" t="n">
        <f aca="false">INT((ROW()-2)/50)+1</f>
        <v>11</v>
      </c>
      <c r="K508" s="11" t="str">
        <f aca="false">IF(H508="","Pending",IF(OR(H508="0",H508="1",H508="2",H508="U"),"Complete","Invalid"))</f>
        <v>Complete</v>
      </c>
    </row>
    <row r="509" customFormat="false" ht="84" hidden="false" customHeight="true" outlineLevel="0" collapsed="false">
      <c r="A509" s="8" t="s">
        <v>861</v>
      </c>
      <c r="B509" s="8" t="s">
        <v>123</v>
      </c>
      <c r="C509" s="8" t="s">
        <v>124</v>
      </c>
      <c r="D509" s="8" t="s">
        <v>125</v>
      </c>
      <c r="E509" s="8" t="s">
        <v>120</v>
      </c>
      <c r="F509" s="8" t="s">
        <v>31</v>
      </c>
      <c r="G509" s="8" t="s">
        <v>121</v>
      </c>
      <c r="H509" s="9" t="s">
        <v>18</v>
      </c>
      <c r="I509" s="10"/>
      <c r="J509" s="11" t="n">
        <f aca="false">INT((ROW()-2)/50)+1</f>
        <v>11</v>
      </c>
      <c r="K509" s="11" t="str">
        <f aca="false">IF(H509="","Pending",IF(OR(H509="0",H509="1",H509="2",H509="U"),"Complete","Invalid"))</f>
        <v>Complete</v>
      </c>
    </row>
    <row r="510" customFormat="false" ht="84" hidden="false" customHeight="true" outlineLevel="0" collapsed="false">
      <c r="A510" s="8" t="s">
        <v>862</v>
      </c>
      <c r="B510" s="8" t="s">
        <v>155</v>
      </c>
      <c r="C510" s="8" t="s">
        <v>156</v>
      </c>
      <c r="D510" s="8" t="s">
        <v>157</v>
      </c>
      <c r="E510" s="8" t="s">
        <v>390</v>
      </c>
      <c r="F510" s="8" t="s">
        <v>31</v>
      </c>
      <c r="G510" s="8" t="s">
        <v>391</v>
      </c>
      <c r="H510" s="9" t="s">
        <v>18</v>
      </c>
      <c r="I510" s="10"/>
      <c r="J510" s="11" t="n">
        <f aca="false">INT((ROW()-2)/50)+1</f>
        <v>11</v>
      </c>
      <c r="K510" s="11" t="str">
        <f aca="false">IF(H510="","Pending",IF(OR(H510="0",H510="1",H510="2",H510="U"),"Complete","Invalid"))</f>
        <v>Complete</v>
      </c>
    </row>
    <row r="511" customFormat="false" ht="84" hidden="false" customHeight="true" outlineLevel="0" collapsed="false">
      <c r="A511" s="8" t="s">
        <v>863</v>
      </c>
      <c r="B511" s="8" t="s">
        <v>51</v>
      </c>
      <c r="C511" s="8" t="s">
        <v>52</v>
      </c>
      <c r="D511" s="8" t="s">
        <v>53</v>
      </c>
      <c r="E511" s="8" t="s">
        <v>201</v>
      </c>
      <c r="F511" s="8" t="s">
        <v>202</v>
      </c>
      <c r="G511" s="8" t="s">
        <v>203</v>
      </c>
      <c r="H511" s="9" t="s">
        <v>132</v>
      </c>
      <c r="I511" s="10"/>
      <c r="J511" s="11" t="n">
        <f aca="false">INT((ROW()-2)/50)+1</f>
        <v>11</v>
      </c>
      <c r="K511" s="11" t="str">
        <f aca="false">IF(H511="","Pending",IF(OR(H511="0",H511="1",H511="2",H511="U"),"Complete","Invalid"))</f>
        <v>Complete</v>
      </c>
    </row>
    <row r="512" customFormat="false" ht="84" hidden="false" customHeight="true" outlineLevel="0" collapsed="false">
      <c r="A512" s="8" t="s">
        <v>864</v>
      </c>
      <c r="B512" s="8" t="s">
        <v>259</v>
      </c>
      <c r="C512" s="8" t="s">
        <v>260</v>
      </c>
      <c r="D512" s="8" t="s">
        <v>261</v>
      </c>
      <c r="E512" s="8" t="s">
        <v>282</v>
      </c>
      <c r="F512" s="8" t="s">
        <v>24</v>
      </c>
      <c r="G512" s="8" t="s">
        <v>283</v>
      </c>
      <c r="H512" s="9" t="s">
        <v>18</v>
      </c>
      <c r="I512" s="10"/>
      <c r="J512" s="11" t="n">
        <f aca="false">INT((ROW()-2)/50)+1</f>
        <v>11</v>
      </c>
      <c r="K512" s="11" t="str">
        <f aca="false">IF(H512="","Pending",IF(OR(H512="0",H512="1",H512="2",H512="U"),"Complete","Invalid"))</f>
        <v>Complete</v>
      </c>
    </row>
    <row r="513" customFormat="false" ht="84" hidden="false" customHeight="true" outlineLevel="0" collapsed="false">
      <c r="A513" s="8" t="s">
        <v>865</v>
      </c>
      <c r="B513" s="8" t="s">
        <v>148</v>
      </c>
      <c r="C513" s="8" t="s">
        <v>149</v>
      </c>
      <c r="D513" s="8" t="s">
        <v>150</v>
      </c>
      <c r="E513" s="8" t="s">
        <v>454</v>
      </c>
      <c r="F513" s="8" t="s">
        <v>380</v>
      </c>
      <c r="G513" s="8" t="s">
        <v>455</v>
      </c>
      <c r="H513" s="9" t="s">
        <v>114</v>
      </c>
      <c r="I513" s="10"/>
      <c r="J513" s="11" t="n">
        <f aca="false">INT((ROW()-2)/50)+1</f>
        <v>11</v>
      </c>
      <c r="K513" s="11" t="str">
        <f aca="false">IF(H513="","Pending",IF(OR(H513="0",H513="1",H513="2",H513="U"),"Complete","Invalid"))</f>
        <v>Complete</v>
      </c>
    </row>
    <row r="514" customFormat="false" ht="84" hidden="false" customHeight="true" outlineLevel="0" collapsed="false">
      <c r="A514" s="8" t="s">
        <v>866</v>
      </c>
      <c r="B514" s="8" t="s">
        <v>80</v>
      </c>
      <c r="C514" s="8" t="s">
        <v>81</v>
      </c>
      <c r="D514" s="8" t="s">
        <v>82</v>
      </c>
      <c r="E514" s="8" t="s">
        <v>15</v>
      </c>
      <c r="F514" s="8" t="s">
        <v>16</v>
      </c>
      <c r="G514" s="8" t="s">
        <v>17</v>
      </c>
      <c r="H514" s="9" t="s">
        <v>18</v>
      </c>
      <c r="I514" s="10"/>
      <c r="J514" s="11" t="n">
        <f aca="false">INT((ROW()-2)/50)+1</f>
        <v>11</v>
      </c>
      <c r="K514" s="11" t="str">
        <f aca="false">IF(H514="","Pending",IF(OR(H514="0",H514="1",H514="2",H514="U"),"Complete","Invalid"))</f>
        <v>Complete</v>
      </c>
    </row>
    <row r="515" customFormat="false" ht="84" hidden="false" customHeight="true" outlineLevel="0" collapsed="false">
      <c r="A515" s="8" t="s">
        <v>867</v>
      </c>
      <c r="B515" s="8" t="s">
        <v>134</v>
      </c>
      <c r="C515" s="8" t="s">
        <v>135</v>
      </c>
      <c r="D515" s="8" t="s">
        <v>136</v>
      </c>
      <c r="E515" s="8" t="s">
        <v>445</v>
      </c>
      <c r="F515" s="8" t="s">
        <v>84</v>
      </c>
      <c r="G515" s="8" t="s">
        <v>446</v>
      </c>
      <c r="H515" s="9" t="s">
        <v>18</v>
      </c>
      <c r="I515" s="10"/>
      <c r="J515" s="11" t="n">
        <f aca="false">INT((ROW()-2)/50)+1</f>
        <v>11</v>
      </c>
      <c r="K515" s="11" t="str">
        <f aca="false">IF(H515="","Pending",IF(OR(H515="0",H515="1",H515="2",H515="U"),"Complete","Invalid"))</f>
        <v>Complete</v>
      </c>
    </row>
    <row r="516" customFormat="false" ht="84" hidden="false" customHeight="true" outlineLevel="0" collapsed="false">
      <c r="A516" s="8" t="s">
        <v>868</v>
      </c>
      <c r="B516" s="8" t="s">
        <v>12</v>
      </c>
      <c r="C516" s="8" t="s">
        <v>13</v>
      </c>
      <c r="D516" s="8" t="s">
        <v>14</v>
      </c>
      <c r="E516" s="8" t="s">
        <v>372</v>
      </c>
      <c r="F516" s="8" t="s">
        <v>55</v>
      </c>
      <c r="G516" s="8" t="s">
        <v>373</v>
      </c>
      <c r="H516" s="9" t="s">
        <v>18</v>
      </c>
      <c r="I516" s="10"/>
      <c r="J516" s="11" t="n">
        <f aca="false">INT((ROW()-2)/50)+1</f>
        <v>11</v>
      </c>
      <c r="K516" s="11" t="str">
        <f aca="false">IF(H516="","Pending",IF(OR(H516="0",H516="1",H516="2",H516="U"),"Complete","Invalid"))</f>
        <v>Complete</v>
      </c>
    </row>
    <row r="517" customFormat="false" ht="84" hidden="false" customHeight="true" outlineLevel="0" collapsed="false">
      <c r="A517" s="8" t="s">
        <v>869</v>
      </c>
      <c r="B517" s="8" t="s">
        <v>129</v>
      </c>
      <c r="C517" s="8" t="s">
        <v>130</v>
      </c>
      <c r="D517" s="8" t="s">
        <v>131</v>
      </c>
      <c r="E517" s="8" t="s">
        <v>536</v>
      </c>
      <c r="F517" s="8" t="s">
        <v>109</v>
      </c>
      <c r="G517" s="8" t="s">
        <v>537</v>
      </c>
      <c r="H517" s="9" t="s">
        <v>18</v>
      </c>
      <c r="I517" s="10"/>
      <c r="J517" s="11" t="n">
        <f aca="false">INT((ROW()-2)/50)+1</f>
        <v>11</v>
      </c>
      <c r="K517" s="11" t="str">
        <f aca="false">IF(H517="","Pending",IF(OR(H517="0",H517="1",H517="2",H517="U"),"Complete","Invalid"))</f>
        <v>Complete</v>
      </c>
    </row>
    <row r="518" customFormat="false" ht="84" hidden="false" customHeight="true" outlineLevel="0" collapsed="false">
      <c r="A518" s="8" t="s">
        <v>870</v>
      </c>
      <c r="B518" s="8" t="s">
        <v>123</v>
      </c>
      <c r="C518" s="8" t="s">
        <v>124</v>
      </c>
      <c r="D518" s="8" t="s">
        <v>125</v>
      </c>
      <c r="E518" s="8" t="s">
        <v>161</v>
      </c>
      <c r="F518" s="8" t="s">
        <v>117</v>
      </c>
      <c r="G518" s="8" t="s">
        <v>162</v>
      </c>
      <c r="H518" s="9" t="s">
        <v>18</v>
      </c>
      <c r="I518" s="10"/>
      <c r="J518" s="11" t="n">
        <f aca="false">INT((ROW()-2)/50)+1</f>
        <v>11</v>
      </c>
      <c r="K518" s="11" t="str">
        <f aca="false">IF(H518="","Pending",IF(OR(H518="0",H518="1",H518="2",H518="U"),"Complete","Invalid"))</f>
        <v>Complete</v>
      </c>
    </row>
    <row r="519" customFormat="false" ht="84" hidden="false" customHeight="true" outlineLevel="0" collapsed="false">
      <c r="A519" s="8" t="s">
        <v>871</v>
      </c>
      <c r="B519" s="8" t="s">
        <v>27</v>
      </c>
      <c r="C519" s="8" t="s">
        <v>28</v>
      </c>
      <c r="D519" s="8" t="s">
        <v>29</v>
      </c>
      <c r="E519" s="8" t="s">
        <v>126</v>
      </c>
      <c r="F519" s="8" t="s">
        <v>73</v>
      </c>
      <c r="G519" s="8" t="s">
        <v>127</v>
      </c>
      <c r="H519" s="9" t="s">
        <v>18</v>
      </c>
      <c r="I519" s="10"/>
      <c r="J519" s="11" t="n">
        <f aca="false">INT((ROW()-2)/50)+1</f>
        <v>11</v>
      </c>
      <c r="K519" s="11" t="str">
        <f aca="false">IF(H519="","Pending",IF(OR(H519="0",H519="1",H519="2",H519="U"),"Complete","Invalid"))</f>
        <v>Complete</v>
      </c>
    </row>
    <row r="520" customFormat="false" ht="84" hidden="false" customHeight="true" outlineLevel="0" collapsed="false">
      <c r="A520" s="8" t="s">
        <v>872</v>
      </c>
      <c r="B520" s="8" t="s">
        <v>223</v>
      </c>
      <c r="C520" s="8" t="s">
        <v>224</v>
      </c>
      <c r="D520" s="8" t="s">
        <v>225</v>
      </c>
      <c r="E520" s="8" t="s">
        <v>622</v>
      </c>
      <c r="F520" s="8" t="s">
        <v>95</v>
      </c>
      <c r="G520" s="8" t="s">
        <v>623</v>
      </c>
      <c r="H520" s="9" t="s">
        <v>18</v>
      </c>
      <c r="I520" s="10"/>
      <c r="J520" s="11" t="n">
        <f aca="false">INT((ROW()-2)/50)+1</f>
        <v>11</v>
      </c>
      <c r="K520" s="11" t="str">
        <f aca="false">IF(H520="","Pending",IF(OR(H520="0",H520="1",H520="2",H520="U"),"Complete","Invalid"))</f>
        <v>Complete</v>
      </c>
    </row>
    <row r="521" customFormat="false" ht="84" hidden="false" customHeight="true" outlineLevel="0" collapsed="false">
      <c r="A521" s="8" t="s">
        <v>873</v>
      </c>
      <c r="B521" s="8" t="s">
        <v>45</v>
      </c>
      <c r="C521" s="8" t="s">
        <v>46</v>
      </c>
      <c r="D521" s="8" t="s">
        <v>47</v>
      </c>
      <c r="E521" s="8" t="s">
        <v>275</v>
      </c>
      <c r="F521" s="8" t="s">
        <v>142</v>
      </c>
      <c r="G521" s="8" t="s">
        <v>276</v>
      </c>
      <c r="H521" s="9" t="s">
        <v>18</v>
      </c>
      <c r="I521" s="10"/>
      <c r="J521" s="11" t="n">
        <f aca="false">INT((ROW()-2)/50)+1</f>
        <v>11</v>
      </c>
      <c r="K521" s="11" t="str">
        <f aca="false">IF(H521="","Pending",IF(OR(H521="0",H521="1",H521="2",H521="U"),"Complete","Invalid"))</f>
        <v>Complete</v>
      </c>
    </row>
    <row r="522" customFormat="false" ht="84" hidden="false" customHeight="true" outlineLevel="0" collapsed="false">
      <c r="A522" s="8" t="s">
        <v>874</v>
      </c>
      <c r="B522" s="8" t="s">
        <v>12</v>
      </c>
      <c r="C522" s="8" t="s">
        <v>13</v>
      </c>
      <c r="D522" s="8" t="s">
        <v>14</v>
      </c>
      <c r="E522" s="8" t="s">
        <v>195</v>
      </c>
      <c r="F522" s="8" t="s">
        <v>95</v>
      </c>
      <c r="G522" s="8" t="s">
        <v>196</v>
      </c>
      <c r="H522" s="9" t="s">
        <v>18</v>
      </c>
      <c r="I522" s="10"/>
      <c r="J522" s="11" t="n">
        <f aca="false">INT((ROW()-2)/50)+1</f>
        <v>11</v>
      </c>
      <c r="K522" s="11" t="str">
        <f aca="false">IF(H522="","Pending",IF(OR(H522="0",H522="1",H522="2",H522="U"),"Complete","Invalid"))</f>
        <v>Complete</v>
      </c>
    </row>
    <row r="523" customFormat="false" ht="84" hidden="false" customHeight="true" outlineLevel="0" collapsed="false">
      <c r="A523" s="8" t="s">
        <v>875</v>
      </c>
      <c r="B523" s="8" t="s">
        <v>209</v>
      </c>
      <c r="C523" s="8" t="s">
        <v>210</v>
      </c>
      <c r="D523" s="8" t="s">
        <v>211</v>
      </c>
      <c r="E523" s="8" t="s">
        <v>164</v>
      </c>
      <c r="F523" s="8" t="s">
        <v>73</v>
      </c>
      <c r="G523" s="8" t="s">
        <v>165</v>
      </c>
      <c r="H523" s="9" t="s">
        <v>18</v>
      </c>
      <c r="I523" s="10"/>
      <c r="J523" s="11" t="n">
        <f aca="false">INT((ROW()-2)/50)+1</f>
        <v>11</v>
      </c>
      <c r="K523" s="11" t="str">
        <f aca="false">IF(H523="","Pending",IF(OR(H523="0",H523="1",H523="2",H523="U"),"Complete","Invalid"))</f>
        <v>Complete</v>
      </c>
    </row>
    <row r="524" customFormat="false" ht="84" hidden="false" customHeight="true" outlineLevel="0" collapsed="false">
      <c r="A524" s="8" t="s">
        <v>876</v>
      </c>
      <c r="B524" s="8" t="s">
        <v>209</v>
      </c>
      <c r="C524" s="8" t="s">
        <v>210</v>
      </c>
      <c r="D524" s="8" t="s">
        <v>211</v>
      </c>
      <c r="E524" s="8" t="s">
        <v>771</v>
      </c>
      <c r="F524" s="8" t="s">
        <v>216</v>
      </c>
      <c r="G524" s="8" t="s">
        <v>772</v>
      </c>
      <c r="H524" s="9" t="s">
        <v>18</v>
      </c>
      <c r="I524" s="10"/>
      <c r="J524" s="11" t="n">
        <f aca="false">INT((ROW()-2)/50)+1</f>
        <v>11</v>
      </c>
      <c r="K524" s="11" t="str">
        <f aca="false">IF(H524="","Pending",IF(OR(H524="0",H524="1",H524="2",H524="U"),"Complete","Invalid"))</f>
        <v>Complete</v>
      </c>
    </row>
    <row r="525" customFormat="false" ht="84" hidden="false" customHeight="true" outlineLevel="0" collapsed="false">
      <c r="A525" s="8" t="s">
        <v>877</v>
      </c>
      <c r="B525" s="8" t="s">
        <v>223</v>
      </c>
      <c r="C525" s="8" t="s">
        <v>224</v>
      </c>
      <c r="D525" s="8" t="s">
        <v>225</v>
      </c>
      <c r="E525" s="8" t="s">
        <v>844</v>
      </c>
      <c r="F525" s="8" t="s">
        <v>263</v>
      </c>
      <c r="G525" s="8" t="s">
        <v>845</v>
      </c>
      <c r="H525" s="9" t="s">
        <v>114</v>
      </c>
      <c r="I525" s="10"/>
      <c r="J525" s="11" t="n">
        <f aca="false">INT((ROW()-2)/50)+1</f>
        <v>11</v>
      </c>
      <c r="K525" s="11" t="str">
        <f aca="false">IF(H525="","Pending",IF(OR(H525="0",H525="1",H525="2",H525="U"),"Complete","Invalid"))</f>
        <v>Complete</v>
      </c>
    </row>
    <row r="526" customFormat="false" ht="84" hidden="false" customHeight="true" outlineLevel="0" collapsed="false">
      <c r="A526" s="8" t="s">
        <v>878</v>
      </c>
      <c r="B526" s="8" t="s">
        <v>76</v>
      </c>
      <c r="C526" s="8" t="s">
        <v>77</v>
      </c>
      <c r="D526" s="8" t="s">
        <v>78</v>
      </c>
      <c r="E526" s="8" t="s">
        <v>471</v>
      </c>
      <c r="F526" s="8" t="s">
        <v>38</v>
      </c>
      <c r="G526" s="8" t="s">
        <v>472</v>
      </c>
      <c r="H526" s="9" t="s">
        <v>18</v>
      </c>
      <c r="I526" s="10"/>
      <c r="J526" s="11" t="n">
        <f aca="false">INT((ROW()-2)/50)+1</f>
        <v>11</v>
      </c>
      <c r="K526" s="11" t="str">
        <f aca="false">IF(H526="","Pending",IF(OR(H526="0",H526="1",H526="2",H526="U"),"Complete","Invalid"))</f>
        <v>Complete</v>
      </c>
    </row>
    <row r="527" customFormat="false" ht="84" hidden="false" customHeight="true" outlineLevel="0" collapsed="false">
      <c r="A527" s="8" t="s">
        <v>879</v>
      </c>
      <c r="B527" s="8" t="s">
        <v>34</v>
      </c>
      <c r="C527" s="8" t="s">
        <v>35</v>
      </c>
      <c r="D527" s="8" t="s">
        <v>36</v>
      </c>
      <c r="E527" s="8" t="s">
        <v>65</v>
      </c>
      <c r="F527" s="8" t="s">
        <v>66</v>
      </c>
      <c r="G527" s="8" t="s">
        <v>67</v>
      </c>
      <c r="H527" s="9" t="s">
        <v>18</v>
      </c>
      <c r="I527" s="10"/>
      <c r="J527" s="11" t="n">
        <f aca="false">INT((ROW()-2)/50)+1</f>
        <v>11</v>
      </c>
      <c r="K527" s="11" t="str">
        <f aca="false">IF(H527="","Pending",IF(OR(H527="0",H527="1",H527="2",H527="U"),"Complete","Invalid"))</f>
        <v>Complete</v>
      </c>
    </row>
    <row r="528" customFormat="false" ht="84" hidden="false" customHeight="true" outlineLevel="0" collapsed="false">
      <c r="A528" s="8" t="s">
        <v>880</v>
      </c>
      <c r="B528" s="8" t="s">
        <v>232</v>
      </c>
      <c r="C528" s="8" t="s">
        <v>233</v>
      </c>
      <c r="D528" s="8" t="s">
        <v>234</v>
      </c>
      <c r="E528" s="8" t="s">
        <v>471</v>
      </c>
      <c r="F528" s="8" t="s">
        <v>38</v>
      </c>
      <c r="G528" s="8" t="s">
        <v>472</v>
      </c>
      <c r="H528" s="9" t="s">
        <v>18</v>
      </c>
      <c r="I528" s="10"/>
      <c r="J528" s="11" t="n">
        <f aca="false">INT((ROW()-2)/50)+1</f>
        <v>11</v>
      </c>
      <c r="K528" s="11" t="str">
        <f aca="false">IF(H528="","Pending",IF(OR(H528="0",H528="1",H528="2",H528="U"),"Complete","Invalid"))</f>
        <v>Complete</v>
      </c>
    </row>
    <row r="529" customFormat="false" ht="84" hidden="false" customHeight="true" outlineLevel="0" collapsed="false">
      <c r="A529" s="8" t="s">
        <v>881</v>
      </c>
      <c r="B529" s="8" t="s">
        <v>76</v>
      </c>
      <c r="C529" s="8" t="s">
        <v>77</v>
      </c>
      <c r="D529" s="8" t="s">
        <v>78</v>
      </c>
      <c r="E529" s="8" t="s">
        <v>431</v>
      </c>
      <c r="F529" s="8" t="s">
        <v>24</v>
      </c>
      <c r="G529" s="8" t="s">
        <v>432</v>
      </c>
      <c r="H529" s="9" t="s">
        <v>18</v>
      </c>
      <c r="I529" s="10"/>
      <c r="J529" s="11" t="n">
        <f aca="false">INT((ROW()-2)/50)+1</f>
        <v>11</v>
      </c>
      <c r="K529" s="11" t="str">
        <f aca="false">IF(H529="","Pending",IF(OR(H529="0",H529="1",H529="2",H529="U"),"Complete","Invalid"))</f>
        <v>Complete</v>
      </c>
    </row>
    <row r="530" customFormat="false" ht="84" hidden="false" customHeight="true" outlineLevel="0" collapsed="false">
      <c r="A530" s="8" t="s">
        <v>882</v>
      </c>
      <c r="B530" s="8" t="s">
        <v>134</v>
      </c>
      <c r="C530" s="8" t="s">
        <v>135</v>
      </c>
      <c r="D530" s="8" t="s">
        <v>136</v>
      </c>
      <c r="E530" s="8" t="s">
        <v>164</v>
      </c>
      <c r="F530" s="8" t="s">
        <v>73</v>
      </c>
      <c r="G530" s="8" t="s">
        <v>165</v>
      </c>
      <c r="H530" s="9" t="s">
        <v>18</v>
      </c>
      <c r="I530" s="10"/>
      <c r="J530" s="11" t="n">
        <f aca="false">INT((ROW()-2)/50)+1</f>
        <v>11</v>
      </c>
      <c r="K530" s="11" t="str">
        <f aca="false">IF(H530="","Pending",IF(OR(H530="0",H530="1",H530="2",H530="U"),"Complete","Invalid"))</f>
        <v>Complete</v>
      </c>
    </row>
    <row r="531" customFormat="false" ht="84" hidden="false" customHeight="true" outlineLevel="0" collapsed="false">
      <c r="A531" s="8" t="s">
        <v>883</v>
      </c>
      <c r="B531" s="8" t="s">
        <v>123</v>
      </c>
      <c r="C531" s="8" t="s">
        <v>124</v>
      </c>
      <c r="D531" s="8" t="s">
        <v>125</v>
      </c>
      <c r="E531" s="8" t="s">
        <v>549</v>
      </c>
      <c r="F531" s="8" t="s">
        <v>31</v>
      </c>
      <c r="G531" s="8" t="s">
        <v>550</v>
      </c>
      <c r="H531" s="9" t="s">
        <v>18</v>
      </c>
      <c r="I531" s="10"/>
      <c r="J531" s="11" t="n">
        <f aca="false">INT((ROW()-2)/50)+1</f>
        <v>11</v>
      </c>
      <c r="K531" s="11" t="str">
        <f aca="false">IF(H531="","Pending",IF(OR(H531="0",H531="1",H531="2",H531="U"),"Complete","Invalid"))</f>
        <v>Complete</v>
      </c>
    </row>
    <row r="532" customFormat="false" ht="84" hidden="false" customHeight="true" outlineLevel="0" collapsed="false">
      <c r="A532" s="8" t="s">
        <v>884</v>
      </c>
      <c r="B532" s="8" t="s">
        <v>80</v>
      </c>
      <c r="C532" s="8" t="s">
        <v>81</v>
      </c>
      <c r="D532" s="8" t="s">
        <v>82</v>
      </c>
      <c r="E532" s="8" t="s">
        <v>37</v>
      </c>
      <c r="F532" s="8" t="s">
        <v>38</v>
      </c>
      <c r="G532" s="8" t="s">
        <v>39</v>
      </c>
      <c r="H532" s="9" t="s">
        <v>18</v>
      </c>
      <c r="I532" s="10"/>
      <c r="J532" s="11" t="n">
        <f aca="false">INT((ROW()-2)/50)+1</f>
        <v>11</v>
      </c>
      <c r="K532" s="11" t="str">
        <f aca="false">IF(H532="","Pending",IF(OR(H532="0",H532="1",H532="2",H532="U"),"Complete","Invalid"))</f>
        <v>Complete</v>
      </c>
    </row>
    <row r="533" customFormat="false" ht="84" hidden="false" customHeight="true" outlineLevel="0" collapsed="false">
      <c r="A533" s="8" t="s">
        <v>885</v>
      </c>
      <c r="B533" s="8" t="s">
        <v>259</v>
      </c>
      <c r="C533" s="8" t="s">
        <v>260</v>
      </c>
      <c r="D533" s="8" t="s">
        <v>261</v>
      </c>
      <c r="E533" s="8" t="s">
        <v>886</v>
      </c>
      <c r="F533" s="8" t="s">
        <v>38</v>
      </c>
      <c r="G533" s="8" t="s">
        <v>887</v>
      </c>
      <c r="H533" s="9" t="s">
        <v>18</v>
      </c>
      <c r="I533" s="10"/>
      <c r="J533" s="11" t="n">
        <f aca="false">INT((ROW()-2)/50)+1</f>
        <v>11</v>
      </c>
      <c r="K533" s="11" t="str">
        <f aca="false">IF(H533="","Pending",IF(OR(H533="0",H533="1",H533="2",H533="U"),"Complete","Invalid"))</f>
        <v>Complete</v>
      </c>
    </row>
    <row r="534" customFormat="false" ht="84" hidden="false" customHeight="true" outlineLevel="0" collapsed="false">
      <c r="A534" s="8" t="s">
        <v>888</v>
      </c>
      <c r="B534" s="8" t="s">
        <v>223</v>
      </c>
      <c r="C534" s="8" t="s">
        <v>224</v>
      </c>
      <c r="D534" s="8" t="s">
        <v>225</v>
      </c>
      <c r="E534" s="8" t="s">
        <v>522</v>
      </c>
      <c r="F534" s="8" t="s">
        <v>24</v>
      </c>
      <c r="G534" s="8" t="s">
        <v>523</v>
      </c>
      <c r="H534" s="9" t="s">
        <v>18</v>
      </c>
      <c r="I534" s="10"/>
      <c r="J534" s="11" t="n">
        <f aca="false">INT((ROW()-2)/50)+1</f>
        <v>11</v>
      </c>
      <c r="K534" s="11" t="str">
        <f aca="false">IF(H534="","Pending",IF(OR(H534="0",H534="1",H534="2",H534="U"),"Complete","Invalid"))</f>
        <v>Complete</v>
      </c>
    </row>
    <row r="535" customFormat="false" ht="84" hidden="false" customHeight="true" outlineLevel="0" collapsed="false">
      <c r="A535" s="8" t="s">
        <v>889</v>
      </c>
      <c r="B535" s="8" t="s">
        <v>238</v>
      </c>
      <c r="C535" s="8" t="s">
        <v>239</v>
      </c>
      <c r="D535" s="8" t="s">
        <v>240</v>
      </c>
      <c r="E535" s="8" t="s">
        <v>290</v>
      </c>
      <c r="F535" s="8" t="s">
        <v>55</v>
      </c>
      <c r="G535" s="8" t="s">
        <v>291</v>
      </c>
      <c r="H535" s="9" t="s">
        <v>18</v>
      </c>
      <c r="I535" s="10"/>
      <c r="J535" s="11" t="n">
        <f aca="false">INT((ROW()-2)/50)+1</f>
        <v>11</v>
      </c>
      <c r="K535" s="11" t="str">
        <f aca="false">IF(H535="","Pending",IF(OR(H535="0",H535="1",H535="2",H535="U"),"Complete","Invalid"))</f>
        <v>Complete</v>
      </c>
    </row>
    <row r="536" customFormat="false" ht="84" hidden="false" customHeight="true" outlineLevel="0" collapsed="false">
      <c r="A536" s="8" t="s">
        <v>890</v>
      </c>
      <c r="B536" s="8" t="s">
        <v>232</v>
      </c>
      <c r="C536" s="8" t="s">
        <v>233</v>
      </c>
      <c r="D536" s="8" t="s">
        <v>234</v>
      </c>
      <c r="E536" s="8" t="s">
        <v>116</v>
      </c>
      <c r="F536" s="8" t="s">
        <v>117</v>
      </c>
      <c r="G536" s="8" t="s">
        <v>118</v>
      </c>
      <c r="H536" s="9" t="s">
        <v>18</v>
      </c>
      <c r="I536" s="10"/>
      <c r="J536" s="11" t="n">
        <f aca="false">INT((ROW()-2)/50)+1</f>
        <v>11</v>
      </c>
      <c r="K536" s="11" t="str">
        <f aca="false">IF(H536="","Pending",IF(OR(H536="0",H536="1",H536="2",H536="U"),"Complete","Invalid"))</f>
        <v>Complete</v>
      </c>
    </row>
    <row r="537" customFormat="false" ht="84" hidden="false" customHeight="true" outlineLevel="0" collapsed="false">
      <c r="A537" s="8" t="s">
        <v>891</v>
      </c>
      <c r="B537" s="8" t="s">
        <v>134</v>
      </c>
      <c r="C537" s="8" t="s">
        <v>135</v>
      </c>
      <c r="D537" s="8" t="s">
        <v>136</v>
      </c>
      <c r="E537" s="8" t="s">
        <v>195</v>
      </c>
      <c r="F537" s="8" t="s">
        <v>95</v>
      </c>
      <c r="G537" s="8" t="s">
        <v>196</v>
      </c>
      <c r="H537" s="9" t="s">
        <v>132</v>
      </c>
      <c r="I537" s="10"/>
      <c r="J537" s="11" t="n">
        <f aca="false">INT((ROW()-2)/50)+1</f>
        <v>11</v>
      </c>
      <c r="K537" s="11" t="str">
        <f aca="false">IF(H537="","Pending",IF(OR(H537="0",H537="1",H537="2",H537="U"),"Complete","Invalid"))</f>
        <v>Complete</v>
      </c>
    </row>
    <row r="538" customFormat="false" ht="84" hidden="false" customHeight="true" outlineLevel="0" collapsed="false">
      <c r="A538" s="8" t="s">
        <v>892</v>
      </c>
      <c r="B538" s="8" t="s">
        <v>171</v>
      </c>
      <c r="C538" s="8" t="s">
        <v>172</v>
      </c>
      <c r="D538" s="8" t="s">
        <v>173</v>
      </c>
      <c r="E538" s="8" t="s">
        <v>65</v>
      </c>
      <c r="F538" s="8" t="s">
        <v>66</v>
      </c>
      <c r="G538" s="8" t="s">
        <v>67</v>
      </c>
      <c r="H538" s="9" t="s">
        <v>18</v>
      </c>
      <c r="I538" s="10"/>
      <c r="J538" s="11" t="n">
        <f aca="false">INT((ROW()-2)/50)+1</f>
        <v>11</v>
      </c>
      <c r="K538" s="11" t="str">
        <f aca="false">IF(H538="","Pending",IF(OR(H538="0",H538="1",H538="2",H538="U"),"Complete","Invalid"))</f>
        <v>Complete</v>
      </c>
    </row>
    <row r="539" customFormat="false" ht="84" hidden="false" customHeight="true" outlineLevel="0" collapsed="false">
      <c r="A539" s="8" t="s">
        <v>893</v>
      </c>
      <c r="B539" s="8" t="s">
        <v>58</v>
      </c>
      <c r="C539" s="8" t="s">
        <v>59</v>
      </c>
      <c r="D539" s="8" t="s">
        <v>60</v>
      </c>
      <c r="E539" s="8" t="s">
        <v>256</v>
      </c>
      <c r="F539" s="8" t="s">
        <v>245</v>
      </c>
      <c r="G539" s="8" t="s">
        <v>257</v>
      </c>
      <c r="H539" s="9" t="s">
        <v>114</v>
      </c>
      <c r="I539" s="10"/>
      <c r="J539" s="11" t="n">
        <f aca="false">INT((ROW()-2)/50)+1</f>
        <v>11</v>
      </c>
      <c r="K539" s="11" t="str">
        <f aca="false">IF(H539="","Pending",IF(OR(H539="0",H539="1",H539="2",H539="U"),"Complete","Invalid"))</f>
        <v>Complete</v>
      </c>
    </row>
    <row r="540" customFormat="false" ht="84" hidden="false" customHeight="true" outlineLevel="0" collapsed="false">
      <c r="A540" s="8" t="s">
        <v>894</v>
      </c>
      <c r="B540" s="8" t="s">
        <v>20</v>
      </c>
      <c r="C540" s="8" t="s">
        <v>21</v>
      </c>
      <c r="D540" s="8" t="s">
        <v>22</v>
      </c>
      <c r="E540" s="8" t="s">
        <v>431</v>
      </c>
      <c r="F540" s="8" t="s">
        <v>24</v>
      </c>
      <c r="G540" s="8" t="s">
        <v>432</v>
      </c>
      <c r="H540" s="9" t="s">
        <v>18</v>
      </c>
      <c r="I540" s="10"/>
      <c r="J540" s="11" t="n">
        <f aca="false">INT((ROW()-2)/50)+1</f>
        <v>11</v>
      </c>
      <c r="K540" s="11" t="str">
        <f aca="false">IF(H540="","Pending",IF(OR(H540="0",H540="1",H540="2",H540="U"),"Complete","Invalid"))</f>
        <v>Complete</v>
      </c>
    </row>
    <row r="541" customFormat="false" ht="84" hidden="false" customHeight="true" outlineLevel="0" collapsed="false">
      <c r="A541" s="8" t="s">
        <v>895</v>
      </c>
      <c r="B541" s="8" t="s">
        <v>58</v>
      </c>
      <c r="C541" s="8" t="s">
        <v>59</v>
      </c>
      <c r="D541" s="8" t="s">
        <v>60</v>
      </c>
      <c r="E541" s="8" t="s">
        <v>278</v>
      </c>
      <c r="F541" s="8" t="s">
        <v>31</v>
      </c>
      <c r="G541" s="8" t="s">
        <v>279</v>
      </c>
      <c r="H541" s="9" t="s">
        <v>18</v>
      </c>
      <c r="I541" s="10"/>
      <c r="J541" s="11" t="n">
        <f aca="false">INT((ROW()-2)/50)+1</f>
        <v>11</v>
      </c>
      <c r="K541" s="11" t="str">
        <f aca="false">IF(H541="","Pending",IF(OR(H541="0",H541="1",H541="2",H541="U"),"Complete","Invalid"))</f>
        <v>Complete</v>
      </c>
    </row>
    <row r="542" customFormat="false" ht="84" hidden="false" customHeight="true" outlineLevel="0" collapsed="false">
      <c r="A542" s="8" t="s">
        <v>896</v>
      </c>
      <c r="B542" s="8" t="s">
        <v>105</v>
      </c>
      <c r="C542" s="8" t="s">
        <v>106</v>
      </c>
      <c r="D542" s="8" t="s">
        <v>107</v>
      </c>
      <c r="E542" s="8" t="s">
        <v>48</v>
      </c>
      <c r="F542" s="8" t="s">
        <v>24</v>
      </c>
      <c r="G542" s="8" t="s">
        <v>49</v>
      </c>
      <c r="H542" s="9" t="s">
        <v>18</v>
      </c>
      <c r="I542" s="10"/>
      <c r="J542" s="11" t="n">
        <f aca="false">INT((ROW()-2)/50)+1</f>
        <v>11</v>
      </c>
      <c r="K542" s="11" t="str">
        <f aca="false">IF(H542="","Pending",IF(OR(H542="0",H542="1",H542="2",H542="U"),"Complete","Invalid"))</f>
        <v>Complete</v>
      </c>
    </row>
    <row r="543" customFormat="false" ht="84" hidden="false" customHeight="true" outlineLevel="0" collapsed="false">
      <c r="A543" s="8" t="s">
        <v>897</v>
      </c>
      <c r="B543" s="8" t="s">
        <v>167</v>
      </c>
      <c r="C543" s="8" t="s">
        <v>168</v>
      </c>
      <c r="D543" s="8" t="s">
        <v>169</v>
      </c>
      <c r="E543" s="8" t="s">
        <v>87</v>
      </c>
      <c r="F543" s="8" t="s">
        <v>88</v>
      </c>
      <c r="G543" s="8" t="s">
        <v>89</v>
      </c>
      <c r="H543" s="9" t="s">
        <v>132</v>
      </c>
      <c r="I543" s="10"/>
      <c r="J543" s="11" t="n">
        <f aca="false">INT((ROW()-2)/50)+1</f>
        <v>11</v>
      </c>
      <c r="K543" s="11" t="str">
        <f aca="false">IF(H543="","Pending",IF(OR(H543="0",H543="1",H543="2",H543="U"),"Complete","Invalid"))</f>
        <v>Complete</v>
      </c>
    </row>
    <row r="544" customFormat="false" ht="84" hidden="false" customHeight="true" outlineLevel="0" collapsed="false">
      <c r="A544" s="8" t="s">
        <v>898</v>
      </c>
      <c r="B544" s="8" t="s">
        <v>58</v>
      </c>
      <c r="C544" s="8" t="s">
        <v>59</v>
      </c>
      <c r="D544" s="8" t="s">
        <v>60</v>
      </c>
      <c r="E544" s="8" t="s">
        <v>15</v>
      </c>
      <c r="F544" s="8" t="s">
        <v>16</v>
      </c>
      <c r="G544" s="8" t="s">
        <v>17</v>
      </c>
      <c r="H544" s="9" t="s">
        <v>18</v>
      </c>
      <c r="I544" s="10"/>
      <c r="J544" s="11" t="n">
        <f aca="false">INT((ROW()-2)/50)+1</f>
        <v>11</v>
      </c>
      <c r="K544" s="11" t="str">
        <f aca="false">IF(H544="","Pending",IF(OR(H544="0",H544="1",H544="2",H544="U"),"Complete","Invalid"))</f>
        <v>Complete</v>
      </c>
    </row>
    <row r="545" customFormat="false" ht="84" hidden="false" customHeight="true" outlineLevel="0" collapsed="false">
      <c r="A545" s="8" t="s">
        <v>899</v>
      </c>
      <c r="B545" s="8" t="s">
        <v>129</v>
      </c>
      <c r="C545" s="8" t="s">
        <v>130</v>
      </c>
      <c r="D545" s="8" t="s">
        <v>131</v>
      </c>
      <c r="E545" s="8" t="s">
        <v>108</v>
      </c>
      <c r="F545" s="8" t="s">
        <v>109</v>
      </c>
      <c r="G545" s="8" t="s">
        <v>110</v>
      </c>
      <c r="H545" s="9" t="s">
        <v>18</v>
      </c>
      <c r="I545" s="10"/>
      <c r="J545" s="11" t="n">
        <f aca="false">INT((ROW()-2)/50)+1</f>
        <v>11</v>
      </c>
      <c r="K545" s="11" t="str">
        <f aca="false">IF(H545="","Pending",IF(OR(H545="0",H545="1",H545="2",H545="U"),"Complete","Invalid"))</f>
        <v>Complete</v>
      </c>
    </row>
    <row r="546" customFormat="false" ht="84" hidden="false" customHeight="true" outlineLevel="0" collapsed="false">
      <c r="A546" s="8" t="s">
        <v>900</v>
      </c>
      <c r="B546" s="8" t="s">
        <v>198</v>
      </c>
      <c r="C546" s="8" t="s">
        <v>199</v>
      </c>
      <c r="D546" s="8" t="s">
        <v>200</v>
      </c>
      <c r="E546" s="8" t="s">
        <v>445</v>
      </c>
      <c r="F546" s="8" t="s">
        <v>84</v>
      </c>
      <c r="G546" s="8" t="s">
        <v>446</v>
      </c>
      <c r="H546" s="9" t="s">
        <v>18</v>
      </c>
      <c r="I546" s="10"/>
      <c r="J546" s="11" t="n">
        <f aca="false">INT((ROW()-2)/50)+1</f>
        <v>11</v>
      </c>
      <c r="K546" s="11" t="str">
        <f aca="false">IF(H546="","Pending",IF(OR(H546="0",H546="1",H546="2",H546="U"),"Complete","Invalid"))</f>
        <v>Complete</v>
      </c>
    </row>
    <row r="547" customFormat="false" ht="84" hidden="false" customHeight="true" outlineLevel="0" collapsed="false">
      <c r="A547" s="8" t="s">
        <v>901</v>
      </c>
      <c r="B547" s="8" t="s">
        <v>312</v>
      </c>
      <c r="C547" s="8" t="s">
        <v>313</v>
      </c>
      <c r="D547" s="8" t="s">
        <v>314</v>
      </c>
      <c r="E547" s="8" t="s">
        <v>286</v>
      </c>
      <c r="F547" s="8" t="s">
        <v>216</v>
      </c>
      <c r="G547" s="8" t="s">
        <v>287</v>
      </c>
      <c r="H547" s="9" t="s">
        <v>114</v>
      </c>
      <c r="I547" s="10" t="s">
        <v>902</v>
      </c>
      <c r="J547" s="11" t="n">
        <f aca="false">INT((ROW()-2)/50)+1</f>
        <v>11</v>
      </c>
      <c r="K547" s="11" t="str">
        <f aca="false">IF(H547="","Pending",IF(OR(H547="0",H547="1",H547="2",H547="U"),"Complete","Invalid"))</f>
        <v>Complete</v>
      </c>
    </row>
    <row r="548" customFormat="false" ht="84" hidden="false" customHeight="true" outlineLevel="0" collapsed="false">
      <c r="A548" s="8" t="s">
        <v>903</v>
      </c>
      <c r="B548" s="8" t="s">
        <v>91</v>
      </c>
      <c r="C548" s="8" t="s">
        <v>92</v>
      </c>
      <c r="D548" s="8" t="s">
        <v>93</v>
      </c>
      <c r="E548" s="8" t="s">
        <v>241</v>
      </c>
      <c r="F548" s="8" t="s">
        <v>38</v>
      </c>
      <c r="G548" s="8" t="s">
        <v>242</v>
      </c>
      <c r="H548" s="9" t="s">
        <v>18</v>
      </c>
      <c r="I548" s="10"/>
      <c r="J548" s="11" t="n">
        <f aca="false">INT((ROW()-2)/50)+1</f>
        <v>11</v>
      </c>
      <c r="K548" s="11" t="str">
        <f aca="false">IF(H548="","Pending",IF(OR(H548="0",H548="1",H548="2",H548="U"),"Complete","Invalid"))</f>
        <v>Complete</v>
      </c>
    </row>
    <row r="549" customFormat="false" ht="84" hidden="false" customHeight="true" outlineLevel="0" collapsed="false">
      <c r="A549" s="8" t="s">
        <v>904</v>
      </c>
      <c r="B549" s="8" t="s">
        <v>27</v>
      </c>
      <c r="C549" s="8" t="s">
        <v>28</v>
      </c>
      <c r="D549" s="8" t="s">
        <v>29</v>
      </c>
      <c r="E549" s="8" t="s">
        <v>512</v>
      </c>
      <c r="F549" s="8" t="s">
        <v>66</v>
      </c>
      <c r="G549" s="8" t="s">
        <v>513</v>
      </c>
      <c r="H549" s="9" t="s">
        <v>18</v>
      </c>
      <c r="I549" s="10"/>
      <c r="J549" s="11" t="n">
        <f aca="false">INT((ROW()-2)/50)+1</f>
        <v>11</v>
      </c>
      <c r="K549" s="11" t="str">
        <f aca="false">IF(H549="","Pending",IF(OR(H549="0",H549="1",H549="2",H549="U"),"Complete","Invalid"))</f>
        <v>Complete</v>
      </c>
    </row>
    <row r="550" customFormat="false" ht="84" hidden="false" customHeight="true" outlineLevel="0" collapsed="false">
      <c r="A550" s="8" t="s">
        <v>905</v>
      </c>
      <c r="B550" s="8" t="s">
        <v>271</v>
      </c>
      <c r="C550" s="8" t="s">
        <v>272</v>
      </c>
      <c r="D550" s="8" t="s">
        <v>273</v>
      </c>
      <c r="E550" s="8" t="s">
        <v>906</v>
      </c>
      <c r="F550" s="8" t="s">
        <v>31</v>
      </c>
      <c r="G550" s="8" t="s">
        <v>907</v>
      </c>
      <c r="H550" s="9" t="s">
        <v>18</v>
      </c>
      <c r="I550" s="10"/>
      <c r="J550" s="11" t="n">
        <f aca="false">INT((ROW()-2)/50)+1</f>
        <v>11</v>
      </c>
      <c r="K550" s="11" t="str">
        <f aca="false">IF(H550="","Pending",IF(OR(H550="0",H550="1",H550="2",H550="U"),"Complete","Invalid"))</f>
        <v>Complete</v>
      </c>
    </row>
    <row r="551" customFormat="false" ht="84" hidden="false" customHeight="true" outlineLevel="0" collapsed="false">
      <c r="A551" s="8" t="s">
        <v>908</v>
      </c>
      <c r="B551" s="8" t="s">
        <v>189</v>
      </c>
      <c r="C551" s="8" t="s">
        <v>190</v>
      </c>
      <c r="D551" s="8" t="s">
        <v>191</v>
      </c>
      <c r="E551" s="8" t="s">
        <v>94</v>
      </c>
      <c r="F551" s="8" t="s">
        <v>95</v>
      </c>
      <c r="G551" s="8" t="s">
        <v>96</v>
      </c>
      <c r="H551" s="9" t="s">
        <v>18</v>
      </c>
      <c r="I551" s="10"/>
      <c r="J551" s="11" t="n">
        <f aca="false">INT((ROW()-2)/50)+1</f>
        <v>11</v>
      </c>
      <c r="K551" s="11" t="str">
        <f aca="false">IF(H551="","Pending",IF(OR(H551="0",H551="1",H551="2",H551="U"),"Complete","Invalid"))</f>
        <v>Complete</v>
      </c>
    </row>
    <row r="552" customFormat="false" ht="84" hidden="false" customHeight="true" outlineLevel="0" collapsed="false">
      <c r="A552" s="8" t="s">
        <v>909</v>
      </c>
      <c r="B552" s="8" t="s">
        <v>51</v>
      </c>
      <c r="C552" s="8" t="s">
        <v>52</v>
      </c>
      <c r="D552" s="8" t="s">
        <v>53</v>
      </c>
      <c r="E552" s="8" t="s">
        <v>375</v>
      </c>
      <c r="F552" s="8" t="s">
        <v>216</v>
      </c>
      <c r="G552" s="8" t="s">
        <v>376</v>
      </c>
      <c r="H552" s="9" t="s">
        <v>18</v>
      </c>
      <c r="I552" s="10"/>
      <c r="J552" s="11" t="n">
        <f aca="false">INT((ROW()-2)/50)+1</f>
        <v>12</v>
      </c>
      <c r="K552" s="11" t="str">
        <f aca="false">IF(H552="","Pending",IF(OR(H552="0",H552="1",H552="2",H552="U"),"Complete","Invalid"))</f>
        <v>Complete</v>
      </c>
    </row>
    <row r="553" customFormat="false" ht="84" hidden="false" customHeight="true" outlineLevel="0" collapsed="false">
      <c r="A553" s="8" t="s">
        <v>910</v>
      </c>
      <c r="B553" s="8" t="s">
        <v>248</v>
      </c>
      <c r="C553" s="8" t="s">
        <v>249</v>
      </c>
      <c r="D553" s="8" t="s">
        <v>250</v>
      </c>
      <c r="E553" s="8" t="s">
        <v>372</v>
      </c>
      <c r="F553" s="8" t="s">
        <v>55</v>
      </c>
      <c r="G553" s="8" t="s">
        <v>373</v>
      </c>
      <c r="H553" s="9" t="s">
        <v>132</v>
      </c>
      <c r="I553" s="10"/>
      <c r="J553" s="11" t="n">
        <f aca="false">INT((ROW()-2)/50)+1</f>
        <v>12</v>
      </c>
      <c r="K553" s="11" t="str">
        <f aca="false">IF(H553="","Pending",IF(OR(H553="0",H553="1",H553="2",H553="U"),"Complete","Invalid"))</f>
        <v>Complete</v>
      </c>
    </row>
    <row r="554" customFormat="false" ht="84" hidden="false" customHeight="true" outlineLevel="0" collapsed="false">
      <c r="A554" s="8" t="s">
        <v>911</v>
      </c>
      <c r="B554" s="8" t="s">
        <v>232</v>
      </c>
      <c r="C554" s="8" t="s">
        <v>233</v>
      </c>
      <c r="D554" s="8" t="s">
        <v>234</v>
      </c>
      <c r="E554" s="8" t="s">
        <v>886</v>
      </c>
      <c r="F554" s="8" t="s">
        <v>38</v>
      </c>
      <c r="G554" s="8" t="s">
        <v>887</v>
      </c>
      <c r="H554" s="9" t="s">
        <v>18</v>
      </c>
      <c r="I554" s="10"/>
      <c r="J554" s="11" t="n">
        <f aca="false">INT((ROW()-2)/50)+1</f>
        <v>12</v>
      </c>
      <c r="K554" s="11" t="str">
        <f aca="false">IF(H554="","Pending",IF(OR(H554="0",H554="1",H554="2",H554="U"),"Complete","Invalid"))</f>
        <v>Complete</v>
      </c>
    </row>
    <row r="555" customFormat="false" ht="84" hidden="false" customHeight="true" outlineLevel="0" collapsed="false">
      <c r="A555" s="8" t="s">
        <v>912</v>
      </c>
      <c r="B555" s="8" t="s">
        <v>189</v>
      </c>
      <c r="C555" s="8" t="s">
        <v>190</v>
      </c>
      <c r="D555" s="8" t="s">
        <v>191</v>
      </c>
      <c r="E555" s="8" t="s">
        <v>241</v>
      </c>
      <c r="F555" s="8" t="s">
        <v>38</v>
      </c>
      <c r="G555" s="8" t="s">
        <v>242</v>
      </c>
      <c r="H555" s="9" t="s">
        <v>18</v>
      </c>
      <c r="I555" s="10"/>
      <c r="J555" s="11" t="n">
        <f aca="false">INT((ROW()-2)/50)+1</f>
        <v>12</v>
      </c>
      <c r="K555" s="11" t="str">
        <f aca="false">IF(H555="","Pending",IF(OR(H555="0",H555="1",H555="2",H555="U"),"Complete","Invalid"))</f>
        <v>Complete</v>
      </c>
    </row>
    <row r="556" customFormat="false" ht="84" hidden="false" customHeight="true" outlineLevel="0" collapsed="false">
      <c r="A556" s="8" t="s">
        <v>913</v>
      </c>
      <c r="B556" s="8" t="s">
        <v>271</v>
      </c>
      <c r="C556" s="8" t="s">
        <v>272</v>
      </c>
      <c r="D556" s="8" t="s">
        <v>273</v>
      </c>
      <c r="E556" s="8" t="s">
        <v>375</v>
      </c>
      <c r="F556" s="8" t="s">
        <v>216</v>
      </c>
      <c r="G556" s="8" t="s">
        <v>376</v>
      </c>
      <c r="H556" s="9" t="s">
        <v>18</v>
      </c>
      <c r="I556" s="10"/>
      <c r="J556" s="11" t="n">
        <f aca="false">INT((ROW()-2)/50)+1</f>
        <v>12</v>
      </c>
      <c r="K556" s="11" t="str">
        <f aca="false">IF(H556="","Pending",IF(OR(H556="0",H556="1",H556="2",H556="U"),"Complete","Invalid"))</f>
        <v>Complete</v>
      </c>
    </row>
    <row r="557" customFormat="false" ht="84" hidden="false" customHeight="true" outlineLevel="0" collapsed="false">
      <c r="A557" s="8" t="s">
        <v>914</v>
      </c>
      <c r="B557" s="8" t="s">
        <v>58</v>
      </c>
      <c r="C557" s="8" t="s">
        <v>59</v>
      </c>
      <c r="D557" s="8" t="s">
        <v>60</v>
      </c>
      <c r="E557" s="8" t="s">
        <v>629</v>
      </c>
      <c r="F557" s="8" t="s">
        <v>31</v>
      </c>
      <c r="G557" s="8" t="s">
        <v>630</v>
      </c>
      <c r="H557" s="9" t="s">
        <v>18</v>
      </c>
      <c r="I557" s="10"/>
      <c r="J557" s="11" t="n">
        <f aca="false">INT((ROW()-2)/50)+1</f>
        <v>12</v>
      </c>
      <c r="K557" s="11" t="str">
        <f aca="false">IF(H557="","Pending",IF(OR(H557="0",H557="1",H557="2",H557="U"),"Complete","Invalid"))</f>
        <v>Complete</v>
      </c>
    </row>
    <row r="558" customFormat="false" ht="84" hidden="false" customHeight="true" outlineLevel="0" collapsed="false">
      <c r="A558" s="8" t="s">
        <v>915</v>
      </c>
      <c r="B558" s="8" t="s">
        <v>238</v>
      </c>
      <c r="C558" s="8" t="s">
        <v>239</v>
      </c>
      <c r="D558" s="8" t="s">
        <v>240</v>
      </c>
      <c r="E558" s="8" t="s">
        <v>672</v>
      </c>
      <c r="F558" s="8" t="s">
        <v>216</v>
      </c>
      <c r="G558" s="8" t="s">
        <v>673</v>
      </c>
      <c r="H558" s="9" t="s">
        <v>18</v>
      </c>
      <c r="I558" s="10"/>
      <c r="J558" s="11" t="n">
        <f aca="false">INT((ROW()-2)/50)+1</f>
        <v>12</v>
      </c>
      <c r="K558" s="11" t="str">
        <f aca="false">IF(H558="","Pending",IF(OR(H558="0",H558="1",H558="2",H558="U"),"Complete","Invalid"))</f>
        <v>Complete</v>
      </c>
    </row>
    <row r="559" customFormat="false" ht="84" hidden="false" customHeight="true" outlineLevel="0" collapsed="false">
      <c r="A559" s="8" t="s">
        <v>916</v>
      </c>
      <c r="B559" s="8" t="s">
        <v>45</v>
      </c>
      <c r="C559" s="8" t="s">
        <v>46</v>
      </c>
      <c r="D559" s="8" t="s">
        <v>47</v>
      </c>
      <c r="E559" s="8" t="s">
        <v>195</v>
      </c>
      <c r="F559" s="8" t="s">
        <v>95</v>
      </c>
      <c r="G559" s="8" t="s">
        <v>196</v>
      </c>
      <c r="H559" s="9" t="s">
        <v>18</v>
      </c>
      <c r="I559" s="10"/>
      <c r="J559" s="11" t="n">
        <f aca="false">INT((ROW()-2)/50)+1</f>
        <v>12</v>
      </c>
      <c r="K559" s="11" t="str">
        <f aca="false">IF(H559="","Pending",IF(OR(H559="0",H559="1",H559="2",H559="U"),"Complete","Invalid"))</f>
        <v>Complete</v>
      </c>
    </row>
    <row r="560" customFormat="false" ht="84" hidden="false" customHeight="true" outlineLevel="0" collapsed="false">
      <c r="A560" s="8" t="s">
        <v>917</v>
      </c>
      <c r="B560" s="8" t="s">
        <v>271</v>
      </c>
      <c r="C560" s="8" t="s">
        <v>272</v>
      </c>
      <c r="D560" s="8" t="s">
        <v>273</v>
      </c>
      <c r="E560" s="8" t="s">
        <v>195</v>
      </c>
      <c r="F560" s="8" t="s">
        <v>95</v>
      </c>
      <c r="G560" s="8" t="s">
        <v>196</v>
      </c>
      <c r="H560" s="9" t="s">
        <v>18</v>
      </c>
      <c r="I560" s="10"/>
      <c r="J560" s="11" t="n">
        <f aca="false">INT((ROW()-2)/50)+1</f>
        <v>12</v>
      </c>
      <c r="K560" s="11" t="str">
        <f aca="false">IF(H560="","Pending",IF(OR(H560="0",H560="1",H560="2",H560="U"),"Complete","Invalid"))</f>
        <v>Complete</v>
      </c>
    </row>
    <row r="561" customFormat="false" ht="84" hidden="false" customHeight="true" outlineLevel="0" collapsed="false">
      <c r="A561" s="8" t="s">
        <v>918</v>
      </c>
      <c r="B561" s="8" t="s">
        <v>232</v>
      </c>
      <c r="C561" s="8" t="s">
        <v>233</v>
      </c>
      <c r="D561" s="8" t="s">
        <v>234</v>
      </c>
      <c r="E561" s="8" t="s">
        <v>161</v>
      </c>
      <c r="F561" s="8" t="s">
        <v>117</v>
      </c>
      <c r="G561" s="8" t="s">
        <v>162</v>
      </c>
      <c r="H561" s="9" t="s">
        <v>18</v>
      </c>
      <c r="I561" s="10"/>
      <c r="J561" s="11" t="n">
        <f aca="false">INT((ROW()-2)/50)+1</f>
        <v>12</v>
      </c>
      <c r="K561" s="11" t="str">
        <f aca="false">IF(H561="","Pending",IF(OR(H561="0",H561="1",H561="2",H561="U"),"Complete","Invalid"))</f>
        <v>Complete</v>
      </c>
    </row>
    <row r="562" customFormat="false" ht="84" hidden="false" customHeight="true" outlineLevel="0" collapsed="false">
      <c r="A562" s="8" t="s">
        <v>919</v>
      </c>
      <c r="B562" s="8" t="s">
        <v>232</v>
      </c>
      <c r="C562" s="8" t="s">
        <v>233</v>
      </c>
      <c r="D562" s="8" t="s">
        <v>234</v>
      </c>
      <c r="E562" s="8" t="s">
        <v>164</v>
      </c>
      <c r="F562" s="8" t="s">
        <v>73</v>
      </c>
      <c r="G562" s="8" t="s">
        <v>165</v>
      </c>
      <c r="H562" s="9" t="s">
        <v>114</v>
      </c>
      <c r="I562" s="10"/>
      <c r="J562" s="11" t="n">
        <f aca="false">INT((ROW()-2)/50)+1</f>
        <v>12</v>
      </c>
      <c r="K562" s="11" t="str">
        <f aca="false">IF(H562="","Pending",IF(OR(H562="0",H562="1",H562="2",H562="U"),"Complete","Invalid"))</f>
        <v>Complete</v>
      </c>
    </row>
    <row r="563" customFormat="false" ht="84" hidden="false" customHeight="true" outlineLevel="0" collapsed="false">
      <c r="A563" s="8" t="s">
        <v>920</v>
      </c>
      <c r="B563" s="8" t="s">
        <v>189</v>
      </c>
      <c r="C563" s="8" t="s">
        <v>190</v>
      </c>
      <c r="D563" s="8" t="s">
        <v>191</v>
      </c>
      <c r="E563" s="8" t="s">
        <v>126</v>
      </c>
      <c r="F563" s="8" t="s">
        <v>73</v>
      </c>
      <c r="G563" s="8" t="s">
        <v>127</v>
      </c>
      <c r="H563" s="9" t="s">
        <v>18</v>
      </c>
      <c r="I563" s="10"/>
      <c r="J563" s="11" t="n">
        <f aca="false">INT((ROW()-2)/50)+1</f>
        <v>12</v>
      </c>
      <c r="K563" s="11" t="str">
        <f aca="false">IF(H563="","Pending",IF(OR(H563="0",H563="1",H563="2",H563="U"),"Complete","Invalid"))</f>
        <v>Complete</v>
      </c>
    </row>
    <row r="564" customFormat="false" ht="84" hidden="false" customHeight="true" outlineLevel="0" collapsed="false">
      <c r="A564" s="8" t="s">
        <v>921</v>
      </c>
      <c r="B564" s="8" t="s">
        <v>171</v>
      </c>
      <c r="C564" s="8" t="s">
        <v>172</v>
      </c>
      <c r="D564" s="8" t="s">
        <v>173</v>
      </c>
      <c r="E564" s="8" t="s">
        <v>475</v>
      </c>
      <c r="F564" s="8" t="s">
        <v>142</v>
      </c>
      <c r="G564" s="8" t="s">
        <v>476</v>
      </c>
      <c r="H564" s="9" t="s">
        <v>18</v>
      </c>
      <c r="I564" s="10"/>
      <c r="J564" s="11" t="n">
        <f aca="false">INT((ROW()-2)/50)+1</f>
        <v>12</v>
      </c>
      <c r="K564" s="11" t="str">
        <f aca="false">IF(H564="","Pending",IF(OR(H564="0",H564="1",H564="2",H564="U"),"Complete","Invalid"))</f>
        <v>Complete</v>
      </c>
    </row>
    <row r="565" customFormat="false" ht="84" hidden="false" customHeight="true" outlineLevel="0" collapsed="false">
      <c r="A565" s="8" t="s">
        <v>922</v>
      </c>
      <c r="B565" s="8" t="s">
        <v>238</v>
      </c>
      <c r="C565" s="8" t="s">
        <v>239</v>
      </c>
      <c r="D565" s="8" t="s">
        <v>240</v>
      </c>
      <c r="E565" s="8" t="s">
        <v>61</v>
      </c>
      <c r="F565" s="8" t="s">
        <v>62</v>
      </c>
      <c r="G565" s="8" t="s">
        <v>63</v>
      </c>
      <c r="H565" s="9" t="s">
        <v>18</v>
      </c>
      <c r="I565" s="10"/>
      <c r="J565" s="11" t="n">
        <f aca="false">INT((ROW()-2)/50)+1</f>
        <v>12</v>
      </c>
      <c r="K565" s="11" t="str">
        <f aca="false">IF(H565="","Pending",IF(OR(H565="0",H565="1",H565="2",H565="U"),"Complete","Invalid"))</f>
        <v>Complete</v>
      </c>
    </row>
    <row r="566" customFormat="false" ht="84" hidden="false" customHeight="true" outlineLevel="0" collapsed="false">
      <c r="A566" s="8" t="s">
        <v>923</v>
      </c>
      <c r="B566" s="8" t="s">
        <v>299</v>
      </c>
      <c r="C566" s="8" t="s">
        <v>300</v>
      </c>
      <c r="D566" s="8" t="s">
        <v>301</v>
      </c>
      <c r="E566" s="8" t="s">
        <v>48</v>
      </c>
      <c r="F566" s="8" t="s">
        <v>24</v>
      </c>
      <c r="G566" s="8" t="s">
        <v>49</v>
      </c>
      <c r="H566" s="9" t="s">
        <v>18</v>
      </c>
      <c r="I566" s="10"/>
      <c r="J566" s="11" t="n">
        <f aca="false">INT((ROW()-2)/50)+1</f>
        <v>12</v>
      </c>
      <c r="K566" s="11" t="str">
        <f aca="false">IF(H566="","Pending",IF(OR(H566="0",H566="1",H566="2",H566="U"),"Complete","Invalid"))</f>
        <v>Complete</v>
      </c>
    </row>
    <row r="567" customFormat="false" ht="84" hidden="false" customHeight="true" outlineLevel="0" collapsed="false">
      <c r="A567" s="8" t="s">
        <v>924</v>
      </c>
      <c r="B567" s="8" t="s">
        <v>189</v>
      </c>
      <c r="C567" s="8" t="s">
        <v>190</v>
      </c>
      <c r="D567" s="8" t="s">
        <v>191</v>
      </c>
      <c r="E567" s="8" t="s">
        <v>307</v>
      </c>
      <c r="F567" s="8" t="s">
        <v>31</v>
      </c>
      <c r="G567" s="8" t="s">
        <v>308</v>
      </c>
      <c r="H567" s="9" t="s">
        <v>18</v>
      </c>
      <c r="I567" s="10"/>
      <c r="J567" s="11" t="n">
        <f aca="false">INT((ROW()-2)/50)+1</f>
        <v>12</v>
      </c>
      <c r="K567" s="11" t="str">
        <f aca="false">IF(H567="","Pending",IF(OR(H567="0",H567="1",H567="2",H567="U"),"Complete","Invalid"))</f>
        <v>Complete</v>
      </c>
    </row>
    <row r="568" customFormat="false" ht="84" hidden="false" customHeight="true" outlineLevel="0" collapsed="false">
      <c r="A568" s="8" t="s">
        <v>925</v>
      </c>
      <c r="B568" s="8" t="s">
        <v>271</v>
      </c>
      <c r="C568" s="8" t="s">
        <v>272</v>
      </c>
      <c r="D568" s="8" t="s">
        <v>273</v>
      </c>
      <c r="E568" s="8" t="s">
        <v>401</v>
      </c>
      <c r="F568" s="8" t="s">
        <v>31</v>
      </c>
      <c r="G568" s="8" t="s">
        <v>402</v>
      </c>
      <c r="H568" s="9" t="s">
        <v>18</v>
      </c>
      <c r="I568" s="10"/>
      <c r="J568" s="11" t="n">
        <f aca="false">INT((ROW()-2)/50)+1</f>
        <v>12</v>
      </c>
      <c r="K568" s="11" t="str">
        <f aca="false">IF(H568="","Pending",IF(OR(H568="0",H568="1",H568="2",H568="U"),"Complete","Invalid"))</f>
        <v>Complete</v>
      </c>
    </row>
    <row r="569" customFormat="false" ht="84" hidden="false" customHeight="true" outlineLevel="0" collapsed="false">
      <c r="A569" s="8" t="s">
        <v>926</v>
      </c>
      <c r="B569" s="8" t="s">
        <v>219</v>
      </c>
      <c r="C569" s="8" t="s">
        <v>220</v>
      </c>
      <c r="D569" s="8" t="s">
        <v>221</v>
      </c>
      <c r="E569" s="8" t="s">
        <v>54</v>
      </c>
      <c r="F569" s="8" t="s">
        <v>55</v>
      </c>
      <c r="G569" s="8" t="s">
        <v>56</v>
      </c>
      <c r="H569" s="9" t="s">
        <v>18</v>
      </c>
      <c r="I569" s="10"/>
      <c r="J569" s="11" t="n">
        <f aca="false">INT((ROW()-2)/50)+1</f>
        <v>12</v>
      </c>
      <c r="K569" s="11" t="str">
        <f aca="false">IF(H569="","Pending",IF(OR(H569="0",H569="1",H569="2",H569="U"),"Complete","Invalid"))</f>
        <v>Complete</v>
      </c>
    </row>
    <row r="570" customFormat="false" ht="84" hidden="false" customHeight="true" outlineLevel="0" collapsed="false">
      <c r="A570" s="8" t="s">
        <v>927</v>
      </c>
      <c r="B570" s="8" t="s">
        <v>189</v>
      </c>
      <c r="C570" s="8" t="s">
        <v>190</v>
      </c>
      <c r="D570" s="8" t="s">
        <v>191</v>
      </c>
      <c r="E570" s="8" t="s">
        <v>844</v>
      </c>
      <c r="F570" s="8" t="s">
        <v>263</v>
      </c>
      <c r="G570" s="8" t="s">
        <v>845</v>
      </c>
      <c r="H570" s="9" t="s">
        <v>18</v>
      </c>
      <c r="I570" s="10"/>
      <c r="J570" s="11" t="n">
        <f aca="false">INT((ROW()-2)/50)+1</f>
        <v>12</v>
      </c>
      <c r="K570" s="11" t="str">
        <f aca="false">IF(H570="","Pending",IF(OR(H570="0",H570="1",H570="2",H570="U"),"Complete","Invalid"))</f>
        <v>Complete</v>
      </c>
    </row>
    <row r="571" customFormat="false" ht="84" hidden="false" customHeight="true" outlineLevel="0" collapsed="false">
      <c r="A571" s="8" t="s">
        <v>928</v>
      </c>
      <c r="B571" s="8" t="s">
        <v>12</v>
      </c>
      <c r="C571" s="8" t="s">
        <v>13</v>
      </c>
      <c r="D571" s="8" t="s">
        <v>14</v>
      </c>
      <c r="E571" s="8" t="s">
        <v>512</v>
      </c>
      <c r="F571" s="8" t="s">
        <v>66</v>
      </c>
      <c r="G571" s="8" t="s">
        <v>513</v>
      </c>
      <c r="H571" s="9" t="s">
        <v>114</v>
      </c>
      <c r="I571" s="10"/>
      <c r="J571" s="11" t="n">
        <f aca="false">INT((ROW()-2)/50)+1</f>
        <v>12</v>
      </c>
      <c r="K571" s="11" t="str">
        <f aca="false">IF(H571="","Pending",IF(OR(H571="0",H571="1",H571="2",H571="U"),"Complete","Invalid"))</f>
        <v>Complete</v>
      </c>
    </row>
    <row r="572" customFormat="false" ht="84" hidden="false" customHeight="true" outlineLevel="0" collapsed="false">
      <c r="A572" s="8" t="s">
        <v>929</v>
      </c>
      <c r="B572" s="8" t="s">
        <v>189</v>
      </c>
      <c r="C572" s="8" t="s">
        <v>190</v>
      </c>
      <c r="D572" s="8" t="s">
        <v>191</v>
      </c>
      <c r="E572" s="8" t="s">
        <v>390</v>
      </c>
      <c r="F572" s="8" t="s">
        <v>31</v>
      </c>
      <c r="G572" s="8" t="s">
        <v>391</v>
      </c>
      <c r="H572" s="9" t="s">
        <v>18</v>
      </c>
      <c r="I572" s="10"/>
      <c r="J572" s="11" t="n">
        <f aca="false">INT((ROW()-2)/50)+1</f>
        <v>12</v>
      </c>
      <c r="K572" s="11" t="str">
        <f aca="false">IF(H572="","Pending",IF(OR(H572="0",H572="1",H572="2",H572="U"),"Complete","Invalid"))</f>
        <v>Complete</v>
      </c>
    </row>
    <row r="573" customFormat="false" ht="84" hidden="false" customHeight="true" outlineLevel="0" collapsed="false">
      <c r="A573" s="8" t="s">
        <v>930</v>
      </c>
      <c r="B573" s="8" t="s">
        <v>129</v>
      </c>
      <c r="C573" s="8" t="s">
        <v>130</v>
      </c>
      <c r="D573" s="8" t="s">
        <v>131</v>
      </c>
      <c r="E573" s="8" t="s">
        <v>179</v>
      </c>
      <c r="F573" s="8" t="s">
        <v>66</v>
      </c>
      <c r="G573" s="8" t="s">
        <v>180</v>
      </c>
      <c r="H573" s="9" t="s">
        <v>18</v>
      </c>
      <c r="I573" s="10"/>
      <c r="J573" s="11" t="n">
        <f aca="false">INT((ROW()-2)/50)+1</f>
        <v>12</v>
      </c>
      <c r="K573" s="11" t="str">
        <f aca="false">IF(H573="","Pending",IF(OR(H573="0",H573="1",H573="2",H573="U"),"Complete","Invalid"))</f>
        <v>Complete</v>
      </c>
    </row>
    <row r="574" customFormat="false" ht="84" hidden="false" customHeight="true" outlineLevel="0" collapsed="false">
      <c r="A574" s="8" t="s">
        <v>931</v>
      </c>
      <c r="B574" s="8" t="s">
        <v>12</v>
      </c>
      <c r="C574" s="8" t="s">
        <v>13</v>
      </c>
      <c r="D574" s="8" t="s">
        <v>14</v>
      </c>
      <c r="E574" s="8" t="s">
        <v>356</v>
      </c>
      <c r="F574" s="8" t="s">
        <v>66</v>
      </c>
      <c r="G574" s="8" t="s">
        <v>357</v>
      </c>
      <c r="H574" s="9" t="s">
        <v>132</v>
      </c>
      <c r="I574" s="10"/>
      <c r="J574" s="11" t="n">
        <f aca="false">INT((ROW()-2)/50)+1</f>
        <v>12</v>
      </c>
      <c r="K574" s="11" t="str">
        <f aca="false">IF(H574="","Pending",IF(OR(H574="0",H574="1",H574="2",H574="U"),"Complete","Invalid"))</f>
        <v>Complete</v>
      </c>
    </row>
    <row r="575" customFormat="false" ht="84" hidden="false" customHeight="true" outlineLevel="0" collapsed="false">
      <c r="A575" s="8" t="s">
        <v>932</v>
      </c>
      <c r="B575" s="8" t="s">
        <v>248</v>
      </c>
      <c r="C575" s="8" t="s">
        <v>249</v>
      </c>
      <c r="D575" s="8" t="s">
        <v>250</v>
      </c>
      <c r="E575" s="8" t="s">
        <v>327</v>
      </c>
      <c r="F575" s="8" t="s">
        <v>31</v>
      </c>
      <c r="G575" s="8" t="s">
        <v>328</v>
      </c>
      <c r="H575" s="9" t="s">
        <v>18</v>
      </c>
      <c r="I575" s="10"/>
      <c r="J575" s="11" t="n">
        <f aca="false">INT((ROW()-2)/50)+1</f>
        <v>12</v>
      </c>
      <c r="K575" s="11" t="str">
        <f aca="false">IF(H575="","Pending",IF(OR(H575="0",H575="1",H575="2",H575="U"),"Complete","Invalid"))</f>
        <v>Complete</v>
      </c>
    </row>
    <row r="576" customFormat="false" ht="84" hidden="false" customHeight="true" outlineLevel="0" collapsed="false">
      <c r="A576" s="8" t="s">
        <v>933</v>
      </c>
      <c r="B576" s="8" t="s">
        <v>98</v>
      </c>
      <c r="C576" s="8" t="s">
        <v>99</v>
      </c>
      <c r="D576" s="8" t="s">
        <v>100</v>
      </c>
      <c r="E576" s="8" t="s">
        <v>637</v>
      </c>
      <c r="F576" s="8" t="s">
        <v>138</v>
      </c>
      <c r="G576" s="8" t="s">
        <v>638</v>
      </c>
      <c r="H576" s="9" t="s">
        <v>114</v>
      </c>
      <c r="I576" s="10" t="s">
        <v>934</v>
      </c>
      <c r="J576" s="11" t="n">
        <f aca="false">INT((ROW()-2)/50)+1</f>
        <v>12</v>
      </c>
      <c r="K576" s="11" t="str">
        <f aca="false">IF(H576="","Pending",IF(OR(H576="0",H576="1",H576="2",H576="U"),"Complete","Invalid"))</f>
        <v>Complete</v>
      </c>
    </row>
    <row r="577" customFormat="false" ht="84" hidden="false" customHeight="true" outlineLevel="0" collapsed="false">
      <c r="A577" s="8" t="s">
        <v>935</v>
      </c>
      <c r="B577" s="8" t="s">
        <v>41</v>
      </c>
      <c r="C577" s="8" t="s">
        <v>42</v>
      </c>
      <c r="D577" s="8" t="s">
        <v>43</v>
      </c>
      <c r="E577" s="8" t="s">
        <v>290</v>
      </c>
      <c r="F577" s="8" t="s">
        <v>55</v>
      </c>
      <c r="G577" s="8" t="s">
        <v>291</v>
      </c>
      <c r="H577" s="9" t="s">
        <v>18</v>
      </c>
      <c r="I577" s="10"/>
      <c r="J577" s="11" t="n">
        <f aca="false">INT((ROW()-2)/50)+1</f>
        <v>12</v>
      </c>
      <c r="K577" s="11" t="str">
        <f aca="false">IF(H577="","Pending",IF(OR(H577="0",H577="1",H577="2",H577="U"),"Complete","Invalid"))</f>
        <v>Complete</v>
      </c>
    </row>
    <row r="578" customFormat="false" ht="84" hidden="false" customHeight="true" outlineLevel="0" collapsed="false">
      <c r="A578" s="8" t="s">
        <v>936</v>
      </c>
      <c r="B578" s="8" t="s">
        <v>129</v>
      </c>
      <c r="C578" s="8" t="s">
        <v>130</v>
      </c>
      <c r="D578" s="8" t="s">
        <v>131</v>
      </c>
      <c r="E578" s="8" t="s">
        <v>368</v>
      </c>
      <c r="F578" s="8" t="s">
        <v>369</v>
      </c>
      <c r="G578" s="8" t="s">
        <v>370</v>
      </c>
      <c r="H578" s="9" t="s">
        <v>18</v>
      </c>
      <c r="I578" s="10"/>
      <c r="J578" s="11" t="n">
        <f aca="false">INT((ROW()-2)/50)+1</f>
        <v>12</v>
      </c>
      <c r="K578" s="11" t="str">
        <f aca="false">IF(H578="","Pending",IF(OR(H578="0",H578="1",H578="2",H578="U"),"Complete","Invalid"))</f>
        <v>Complete</v>
      </c>
    </row>
    <row r="579" customFormat="false" ht="84" hidden="false" customHeight="true" outlineLevel="0" collapsed="false">
      <c r="A579" s="8" t="s">
        <v>937</v>
      </c>
      <c r="B579" s="8" t="s">
        <v>91</v>
      </c>
      <c r="C579" s="8" t="s">
        <v>92</v>
      </c>
      <c r="D579" s="8" t="s">
        <v>93</v>
      </c>
      <c r="E579" s="8" t="s">
        <v>532</v>
      </c>
      <c r="F579" s="8" t="s">
        <v>38</v>
      </c>
      <c r="G579" s="8" t="s">
        <v>533</v>
      </c>
      <c r="H579" s="9" t="s">
        <v>18</v>
      </c>
      <c r="I579" s="10"/>
      <c r="J579" s="11" t="n">
        <f aca="false">INT((ROW()-2)/50)+1</f>
        <v>12</v>
      </c>
      <c r="K579" s="11" t="str">
        <f aca="false">IF(H579="","Pending",IF(OR(H579="0",H579="1",H579="2",H579="U"),"Complete","Invalid"))</f>
        <v>Complete</v>
      </c>
    </row>
    <row r="580" customFormat="false" ht="84" hidden="false" customHeight="true" outlineLevel="0" collapsed="false">
      <c r="A580" s="8" t="s">
        <v>938</v>
      </c>
      <c r="B580" s="8" t="s">
        <v>76</v>
      </c>
      <c r="C580" s="8" t="s">
        <v>77</v>
      </c>
      <c r="D580" s="8" t="s">
        <v>78</v>
      </c>
      <c r="E580" s="8" t="s">
        <v>375</v>
      </c>
      <c r="F580" s="8" t="s">
        <v>216</v>
      </c>
      <c r="G580" s="8" t="s">
        <v>376</v>
      </c>
      <c r="H580" s="9" t="s">
        <v>132</v>
      </c>
      <c r="I580" s="10"/>
      <c r="J580" s="11" t="n">
        <f aca="false">INT((ROW()-2)/50)+1</f>
        <v>12</v>
      </c>
      <c r="K580" s="11" t="str">
        <f aca="false">IF(H580="","Pending",IF(OR(H580="0",H580="1",H580="2",H580="U"),"Complete","Invalid"))</f>
        <v>Complete</v>
      </c>
    </row>
    <row r="581" customFormat="false" ht="84" hidden="false" customHeight="true" outlineLevel="0" collapsed="false">
      <c r="A581" s="8" t="s">
        <v>939</v>
      </c>
      <c r="B581" s="8" t="s">
        <v>41</v>
      </c>
      <c r="C581" s="8" t="s">
        <v>42</v>
      </c>
      <c r="D581" s="8" t="s">
        <v>43</v>
      </c>
      <c r="E581" s="8" t="s">
        <v>336</v>
      </c>
      <c r="F581" s="8" t="s">
        <v>55</v>
      </c>
      <c r="G581" s="8" t="s">
        <v>337</v>
      </c>
      <c r="H581" s="9" t="s">
        <v>18</v>
      </c>
      <c r="I581" s="10"/>
      <c r="J581" s="11" t="n">
        <f aca="false">INT((ROW()-2)/50)+1</f>
        <v>12</v>
      </c>
      <c r="K581" s="11" t="str">
        <f aca="false">IF(H581="","Pending",IF(OR(H581="0",H581="1",H581="2",H581="U"),"Complete","Invalid"))</f>
        <v>Complete</v>
      </c>
    </row>
    <row r="582" customFormat="false" ht="84" hidden="false" customHeight="true" outlineLevel="0" collapsed="false">
      <c r="A582" s="8" t="s">
        <v>940</v>
      </c>
      <c r="B582" s="8" t="s">
        <v>271</v>
      </c>
      <c r="C582" s="8" t="s">
        <v>272</v>
      </c>
      <c r="D582" s="8" t="s">
        <v>273</v>
      </c>
      <c r="E582" s="8" t="s">
        <v>161</v>
      </c>
      <c r="F582" s="8" t="s">
        <v>117</v>
      </c>
      <c r="G582" s="8" t="s">
        <v>162</v>
      </c>
      <c r="H582" s="9" t="s">
        <v>18</v>
      </c>
      <c r="I582" s="10"/>
      <c r="J582" s="11" t="n">
        <f aca="false">INT((ROW()-2)/50)+1</f>
        <v>12</v>
      </c>
      <c r="K582" s="11" t="str">
        <f aca="false">IF(H582="","Pending",IF(OR(H582="0",H582="1",H582="2",H582="U"),"Complete","Invalid"))</f>
        <v>Complete</v>
      </c>
    </row>
    <row r="583" customFormat="false" ht="84" hidden="false" customHeight="true" outlineLevel="0" collapsed="false">
      <c r="A583" s="8" t="s">
        <v>941</v>
      </c>
      <c r="B583" s="8" t="s">
        <v>134</v>
      </c>
      <c r="C583" s="8" t="s">
        <v>135</v>
      </c>
      <c r="D583" s="8" t="s">
        <v>136</v>
      </c>
      <c r="E583" s="8" t="s">
        <v>145</v>
      </c>
      <c r="F583" s="8" t="s">
        <v>95</v>
      </c>
      <c r="G583" s="8" t="s">
        <v>146</v>
      </c>
      <c r="H583" s="9" t="s">
        <v>132</v>
      </c>
      <c r="I583" s="10"/>
      <c r="J583" s="11" t="n">
        <f aca="false">INT((ROW()-2)/50)+1</f>
        <v>12</v>
      </c>
      <c r="K583" s="11" t="str">
        <f aca="false">IF(H583="","Pending",IF(OR(H583="0",H583="1",H583="2",H583="U"),"Complete","Invalid"))</f>
        <v>Complete</v>
      </c>
    </row>
    <row r="584" customFormat="false" ht="84" hidden="false" customHeight="true" outlineLevel="0" collapsed="false">
      <c r="A584" s="8" t="s">
        <v>942</v>
      </c>
      <c r="B584" s="8" t="s">
        <v>69</v>
      </c>
      <c r="C584" s="8" t="s">
        <v>70</v>
      </c>
      <c r="D584" s="8" t="s">
        <v>71</v>
      </c>
      <c r="E584" s="8" t="s">
        <v>244</v>
      </c>
      <c r="F584" s="8" t="s">
        <v>245</v>
      </c>
      <c r="G584" s="8" t="s">
        <v>246</v>
      </c>
      <c r="H584" s="9" t="s">
        <v>18</v>
      </c>
      <c r="I584" s="10"/>
      <c r="J584" s="11" t="n">
        <f aca="false">INT((ROW()-2)/50)+1</f>
        <v>12</v>
      </c>
      <c r="K584" s="11" t="str">
        <f aca="false">IF(H584="","Pending",IF(OR(H584="0",H584="1",H584="2",H584="U"),"Complete","Invalid"))</f>
        <v>Complete</v>
      </c>
    </row>
    <row r="585" customFormat="false" ht="84" hidden="false" customHeight="true" outlineLevel="0" collapsed="false">
      <c r="A585" s="8" t="s">
        <v>943</v>
      </c>
      <c r="B585" s="8" t="s">
        <v>105</v>
      </c>
      <c r="C585" s="8" t="s">
        <v>106</v>
      </c>
      <c r="D585" s="8" t="s">
        <v>107</v>
      </c>
      <c r="E585" s="8" t="s">
        <v>319</v>
      </c>
      <c r="F585" s="8" t="s">
        <v>62</v>
      </c>
      <c r="G585" s="8" t="s">
        <v>320</v>
      </c>
      <c r="H585" s="9" t="s">
        <v>132</v>
      </c>
      <c r="I585" s="10"/>
      <c r="J585" s="11" t="n">
        <f aca="false">INT((ROW()-2)/50)+1</f>
        <v>12</v>
      </c>
      <c r="K585" s="11" t="str">
        <f aca="false">IF(H585="","Pending",IF(OR(H585="0",H585="1",H585="2",H585="U"),"Complete","Invalid"))</f>
        <v>Complete</v>
      </c>
    </row>
    <row r="586" customFormat="false" ht="84" hidden="false" customHeight="true" outlineLevel="0" collapsed="false">
      <c r="A586" s="8" t="s">
        <v>944</v>
      </c>
      <c r="B586" s="8" t="s">
        <v>299</v>
      </c>
      <c r="C586" s="8" t="s">
        <v>300</v>
      </c>
      <c r="D586" s="8" t="s">
        <v>301</v>
      </c>
      <c r="E586" s="8" t="s">
        <v>252</v>
      </c>
      <c r="F586" s="8" t="s">
        <v>138</v>
      </c>
      <c r="G586" s="8" t="s">
        <v>253</v>
      </c>
      <c r="H586" s="9" t="s">
        <v>18</v>
      </c>
      <c r="I586" s="10"/>
      <c r="J586" s="11" t="n">
        <f aca="false">INT((ROW()-2)/50)+1</f>
        <v>12</v>
      </c>
      <c r="K586" s="11" t="str">
        <f aca="false">IF(H586="","Pending",IF(OR(H586="0",H586="1",H586="2",H586="U"),"Complete","Invalid"))</f>
        <v>Complete</v>
      </c>
    </row>
    <row r="587" customFormat="false" ht="84" hidden="false" customHeight="true" outlineLevel="0" collapsed="false">
      <c r="A587" s="8" t="s">
        <v>945</v>
      </c>
      <c r="B587" s="8" t="s">
        <v>27</v>
      </c>
      <c r="C587" s="8" t="s">
        <v>28</v>
      </c>
      <c r="D587" s="8" t="s">
        <v>29</v>
      </c>
      <c r="E587" s="8" t="s">
        <v>282</v>
      </c>
      <c r="F587" s="8" t="s">
        <v>24</v>
      </c>
      <c r="G587" s="8" t="s">
        <v>283</v>
      </c>
      <c r="H587" s="9" t="s">
        <v>18</v>
      </c>
      <c r="I587" s="10"/>
      <c r="J587" s="11" t="n">
        <f aca="false">INT((ROW()-2)/50)+1</f>
        <v>12</v>
      </c>
      <c r="K587" s="11" t="str">
        <f aca="false">IF(H587="","Pending",IF(OR(H587="0",H587="1",H587="2",H587="U"),"Complete","Invalid"))</f>
        <v>Complete</v>
      </c>
    </row>
    <row r="588" customFormat="false" ht="84" hidden="false" customHeight="true" outlineLevel="0" collapsed="false">
      <c r="A588" s="8" t="s">
        <v>946</v>
      </c>
      <c r="B588" s="8" t="s">
        <v>155</v>
      </c>
      <c r="C588" s="8" t="s">
        <v>156</v>
      </c>
      <c r="D588" s="8" t="s">
        <v>157</v>
      </c>
      <c r="E588" s="8" t="s">
        <v>145</v>
      </c>
      <c r="F588" s="8" t="s">
        <v>95</v>
      </c>
      <c r="G588" s="8" t="s">
        <v>146</v>
      </c>
      <c r="H588" s="9" t="s">
        <v>18</v>
      </c>
      <c r="I588" s="10"/>
      <c r="J588" s="11" t="n">
        <f aca="false">INT((ROW()-2)/50)+1</f>
        <v>12</v>
      </c>
      <c r="K588" s="11" t="str">
        <f aca="false">IF(H588="","Pending",IF(OR(H588="0",H588="1",H588="2",H588="U"),"Complete","Invalid"))</f>
        <v>Complete</v>
      </c>
    </row>
    <row r="589" customFormat="false" ht="84" hidden="false" customHeight="true" outlineLevel="0" collapsed="false">
      <c r="A589" s="8" t="s">
        <v>947</v>
      </c>
      <c r="B589" s="8" t="s">
        <v>259</v>
      </c>
      <c r="C589" s="8" t="s">
        <v>260</v>
      </c>
      <c r="D589" s="8" t="s">
        <v>261</v>
      </c>
      <c r="E589" s="8" t="s">
        <v>37</v>
      </c>
      <c r="F589" s="8" t="s">
        <v>38</v>
      </c>
      <c r="G589" s="8" t="s">
        <v>39</v>
      </c>
      <c r="H589" s="9" t="s">
        <v>18</v>
      </c>
      <c r="I589" s="10"/>
      <c r="J589" s="11" t="n">
        <f aca="false">INT((ROW()-2)/50)+1</f>
        <v>12</v>
      </c>
      <c r="K589" s="11" t="str">
        <f aca="false">IF(H589="","Pending",IF(OR(H589="0",H589="1",H589="2",H589="U"),"Complete","Invalid"))</f>
        <v>Complete</v>
      </c>
    </row>
    <row r="590" customFormat="false" ht="84" hidden="false" customHeight="true" outlineLevel="0" collapsed="false">
      <c r="A590" s="8" t="s">
        <v>948</v>
      </c>
      <c r="B590" s="8" t="s">
        <v>129</v>
      </c>
      <c r="C590" s="8" t="s">
        <v>130</v>
      </c>
      <c r="D590" s="8" t="s">
        <v>131</v>
      </c>
      <c r="E590" s="8" t="s">
        <v>282</v>
      </c>
      <c r="F590" s="8" t="s">
        <v>24</v>
      </c>
      <c r="G590" s="8" t="s">
        <v>283</v>
      </c>
      <c r="H590" s="9" t="s">
        <v>18</v>
      </c>
      <c r="I590" s="10"/>
      <c r="J590" s="11" t="n">
        <f aca="false">INT((ROW()-2)/50)+1</f>
        <v>12</v>
      </c>
      <c r="K590" s="11" t="str">
        <f aca="false">IF(H590="","Pending",IF(OR(H590="0",H590="1",H590="2",H590="U"),"Complete","Invalid"))</f>
        <v>Complete</v>
      </c>
    </row>
    <row r="591" customFormat="false" ht="84" hidden="false" customHeight="true" outlineLevel="0" collapsed="false">
      <c r="A591" s="8" t="s">
        <v>949</v>
      </c>
      <c r="B591" s="8" t="s">
        <v>80</v>
      </c>
      <c r="C591" s="8" t="s">
        <v>81</v>
      </c>
      <c r="D591" s="8" t="s">
        <v>82</v>
      </c>
      <c r="E591" s="8" t="s">
        <v>777</v>
      </c>
      <c r="F591" s="8" t="s">
        <v>380</v>
      </c>
      <c r="G591" s="8" t="s">
        <v>778</v>
      </c>
      <c r="H591" s="9" t="s">
        <v>18</v>
      </c>
      <c r="I591" s="10"/>
      <c r="J591" s="11" t="n">
        <f aca="false">INT((ROW()-2)/50)+1</f>
        <v>12</v>
      </c>
      <c r="K591" s="11" t="str">
        <f aca="false">IF(H591="","Pending",IF(OR(H591="0",H591="1",H591="2",H591="U"),"Complete","Invalid"))</f>
        <v>Complete</v>
      </c>
    </row>
    <row r="592" customFormat="false" ht="84" hidden="false" customHeight="true" outlineLevel="0" collapsed="false">
      <c r="A592" s="8" t="s">
        <v>950</v>
      </c>
      <c r="B592" s="8" t="s">
        <v>223</v>
      </c>
      <c r="C592" s="8" t="s">
        <v>224</v>
      </c>
      <c r="D592" s="8" t="s">
        <v>225</v>
      </c>
      <c r="E592" s="8" t="s">
        <v>72</v>
      </c>
      <c r="F592" s="8" t="s">
        <v>73</v>
      </c>
      <c r="G592" s="8" t="s">
        <v>74</v>
      </c>
      <c r="H592" s="9" t="s">
        <v>18</v>
      </c>
      <c r="I592" s="10"/>
      <c r="J592" s="11" t="n">
        <f aca="false">INT((ROW()-2)/50)+1</f>
        <v>12</v>
      </c>
      <c r="K592" s="11" t="str">
        <f aca="false">IF(H592="","Pending",IF(OR(H592="0",H592="1",H592="2",H592="U"),"Complete","Invalid"))</f>
        <v>Complete</v>
      </c>
    </row>
    <row r="593" customFormat="false" ht="84" hidden="false" customHeight="true" outlineLevel="0" collapsed="false">
      <c r="A593" s="8" t="s">
        <v>951</v>
      </c>
      <c r="B593" s="8" t="s">
        <v>27</v>
      </c>
      <c r="C593" s="8" t="s">
        <v>28</v>
      </c>
      <c r="D593" s="8" t="s">
        <v>29</v>
      </c>
      <c r="E593" s="8" t="s">
        <v>94</v>
      </c>
      <c r="F593" s="8" t="s">
        <v>95</v>
      </c>
      <c r="G593" s="8" t="s">
        <v>96</v>
      </c>
      <c r="H593" s="9" t="s">
        <v>114</v>
      </c>
      <c r="I593" s="10"/>
      <c r="J593" s="11" t="n">
        <f aca="false">INT((ROW()-2)/50)+1</f>
        <v>12</v>
      </c>
      <c r="K593" s="11" t="str">
        <f aca="false">IF(H593="","Pending",IF(OR(H593="0",H593="1",H593="2",H593="U"),"Complete","Invalid"))</f>
        <v>Complete</v>
      </c>
    </row>
    <row r="594" customFormat="false" ht="84" hidden="false" customHeight="true" outlineLevel="0" collapsed="false">
      <c r="A594" s="8" t="s">
        <v>952</v>
      </c>
      <c r="B594" s="8" t="s">
        <v>312</v>
      </c>
      <c r="C594" s="8" t="s">
        <v>313</v>
      </c>
      <c r="D594" s="8" t="s">
        <v>314</v>
      </c>
      <c r="E594" s="8" t="s">
        <v>307</v>
      </c>
      <c r="F594" s="8" t="s">
        <v>31</v>
      </c>
      <c r="G594" s="8" t="s">
        <v>308</v>
      </c>
      <c r="H594" s="9" t="s">
        <v>114</v>
      </c>
      <c r="I594" s="10" t="s">
        <v>953</v>
      </c>
      <c r="J594" s="11" t="n">
        <f aca="false">INT((ROW()-2)/50)+1</f>
        <v>12</v>
      </c>
      <c r="K594" s="11" t="str">
        <f aca="false">IF(H594="","Pending",IF(OR(H594="0",H594="1",H594="2",H594="U"),"Complete","Invalid"))</f>
        <v>Complete</v>
      </c>
    </row>
    <row r="595" customFormat="false" ht="84" hidden="false" customHeight="true" outlineLevel="0" collapsed="false">
      <c r="A595" s="8" t="s">
        <v>954</v>
      </c>
      <c r="B595" s="8" t="s">
        <v>134</v>
      </c>
      <c r="C595" s="8" t="s">
        <v>135</v>
      </c>
      <c r="D595" s="8" t="s">
        <v>136</v>
      </c>
      <c r="E595" s="8" t="s">
        <v>161</v>
      </c>
      <c r="F595" s="8" t="s">
        <v>117</v>
      </c>
      <c r="G595" s="8" t="s">
        <v>162</v>
      </c>
      <c r="H595" s="9" t="s">
        <v>18</v>
      </c>
      <c r="I595" s="10"/>
      <c r="J595" s="11" t="n">
        <f aca="false">INT((ROW()-2)/50)+1</f>
        <v>12</v>
      </c>
      <c r="K595" s="11" t="str">
        <f aca="false">IF(H595="","Pending",IF(OR(H595="0",H595="1",H595="2",H595="U"),"Complete","Invalid"))</f>
        <v>Complete</v>
      </c>
    </row>
    <row r="596" customFormat="false" ht="84" hidden="false" customHeight="true" outlineLevel="0" collapsed="false">
      <c r="A596" s="8" t="s">
        <v>955</v>
      </c>
      <c r="B596" s="8" t="s">
        <v>45</v>
      </c>
      <c r="C596" s="8" t="s">
        <v>46</v>
      </c>
      <c r="D596" s="8" t="s">
        <v>47</v>
      </c>
      <c r="E596" s="8" t="s">
        <v>108</v>
      </c>
      <c r="F596" s="8" t="s">
        <v>109</v>
      </c>
      <c r="G596" s="8" t="s">
        <v>110</v>
      </c>
      <c r="H596" s="9" t="s">
        <v>132</v>
      </c>
      <c r="I596" s="10" t="s">
        <v>956</v>
      </c>
      <c r="J596" s="11" t="n">
        <f aca="false">INT((ROW()-2)/50)+1</f>
        <v>12</v>
      </c>
      <c r="K596" s="11" t="str">
        <f aca="false">IF(H596="","Pending",IF(OR(H596="0",H596="1",H596="2",H596="U"),"Complete","Invalid"))</f>
        <v>Complete</v>
      </c>
    </row>
    <row r="597" customFormat="false" ht="84" hidden="false" customHeight="true" outlineLevel="0" collapsed="false">
      <c r="A597" s="8" t="s">
        <v>957</v>
      </c>
      <c r="B597" s="8" t="s">
        <v>20</v>
      </c>
      <c r="C597" s="8" t="s">
        <v>21</v>
      </c>
      <c r="D597" s="8" t="s">
        <v>22</v>
      </c>
      <c r="E597" s="8" t="s">
        <v>319</v>
      </c>
      <c r="F597" s="8" t="s">
        <v>62</v>
      </c>
      <c r="G597" s="8" t="s">
        <v>320</v>
      </c>
      <c r="H597" s="9" t="s">
        <v>18</v>
      </c>
      <c r="I597" s="10"/>
      <c r="J597" s="11" t="n">
        <f aca="false">INT((ROW()-2)/50)+1</f>
        <v>12</v>
      </c>
      <c r="K597" s="11" t="str">
        <f aca="false">IF(H597="","Pending",IF(OR(H597="0",H597="1",H597="2",H597="U"),"Complete","Invalid"))</f>
        <v>Complete</v>
      </c>
    </row>
    <row r="598" customFormat="false" ht="84" hidden="false" customHeight="true" outlineLevel="0" collapsed="false">
      <c r="A598" s="8" t="s">
        <v>958</v>
      </c>
      <c r="B598" s="8" t="s">
        <v>171</v>
      </c>
      <c r="C598" s="8" t="s">
        <v>172</v>
      </c>
      <c r="D598" s="8" t="s">
        <v>173</v>
      </c>
      <c r="E598" s="8" t="s">
        <v>54</v>
      </c>
      <c r="F598" s="8" t="s">
        <v>55</v>
      </c>
      <c r="G598" s="8" t="s">
        <v>56</v>
      </c>
      <c r="H598" s="9" t="s">
        <v>18</v>
      </c>
      <c r="I598" s="10"/>
      <c r="J598" s="11" t="n">
        <f aca="false">INT((ROW()-2)/50)+1</f>
        <v>12</v>
      </c>
      <c r="K598" s="11" t="str">
        <f aca="false">IF(H598="","Pending",IF(OR(H598="0",H598="1",H598="2",H598="U"),"Complete","Invalid"))</f>
        <v>Complete</v>
      </c>
    </row>
    <row r="599" customFormat="false" ht="84" hidden="false" customHeight="true" outlineLevel="0" collapsed="false">
      <c r="A599" s="8" t="s">
        <v>959</v>
      </c>
      <c r="B599" s="8" t="s">
        <v>51</v>
      </c>
      <c r="C599" s="8" t="s">
        <v>52</v>
      </c>
      <c r="D599" s="8" t="s">
        <v>53</v>
      </c>
      <c r="E599" s="8" t="s">
        <v>72</v>
      </c>
      <c r="F599" s="8" t="s">
        <v>73</v>
      </c>
      <c r="G599" s="8" t="s">
        <v>74</v>
      </c>
      <c r="H599" s="9" t="s">
        <v>18</v>
      </c>
      <c r="I599" s="10"/>
      <c r="J599" s="11" t="n">
        <f aca="false">INT((ROW()-2)/50)+1</f>
        <v>12</v>
      </c>
      <c r="K599" s="11" t="str">
        <f aca="false">IF(H599="","Pending",IF(OR(H599="0",H599="1",H599="2",H599="U"),"Complete","Invalid"))</f>
        <v>Complete</v>
      </c>
    </row>
    <row r="600" customFormat="false" ht="84" hidden="false" customHeight="true" outlineLevel="0" collapsed="false">
      <c r="A600" s="8" t="s">
        <v>960</v>
      </c>
      <c r="B600" s="8" t="s">
        <v>299</v>
      </c>
      <c r="C600" s="8" t="s">
        <v>300</v>
      </c>
      <c r="D600" s="8" t="s">
        <v>301</v>
      </c>
      <c r="E600" s="8" t="s">
        <v>120</v>
      </c>
      <c r="F600" s="8" t="s">
        <v>31</v>
      </c>
      <c r="G600" s="8" t="s">
        <v>121</v>
      </c>
      <c r="H600" s="9" t="s">
        <v>18</v>
      </c>
      <c r="I600" s="10"/>
      <c r="J600" s="11" t="n">
        <f aca="false">INT((ROW()-2)/50)+1</f>
        <v>12</v>
      </c>
      <c r="K600" s="11" t="str">
        <f aca="false">IF(H600="","Pending",IF(OR(H600="0",H600="1",H600="2",H600="U"),"Complete","Invalid"))</f>
        <v>Complete</v>
      </c>
    </row>
    <row r="601" customFormat="false" ht="84" hidden="false" customHeight="true" outlineLevel="0" collapsed="false">
      <c r="A601" s="8" t="s">
        <v>961</v>
      </c>
      <c r="B601" s="8" t="s">
        <v>198</v>
      </c>
      <c r="C601" s="8" t="s">
        <v>199</v>
      </c>
      <c r="D601" s="8" t="s">
        <v>200</v>
      </c>
      <c r="E601" s="8" t="s">
        <v>179</v>
      </c>
      <c r="F601" s="8" t="s">
        <v>66</v>
      </c>
      <c r="G601" s="8" t="s">
        <v>180</v>
      </c>
      <c r="H601" s="9" t="s">
        <v>18</v>
      </c>
      <c r="I601" s="10"/>
      <c r="J601" s="11" t="n">
        <f aca="false">INT((ROW()-2)/50)+1</f>
        <v>12</v>
      </c>
      <c r="K601" s="11" t="str">
        <f aca="false">IF(H601="","Pending",IF(OR(H601="0",H601="1",H601="2",H601="U"),"Complete","Invalid"))</f>
        <v>Complete</v>
      </c>
    </row>
    <row r="602" customFormat="false" ht="84" hidden="false" customHeight="true" outlineLevel="0" collapsed="false">
      <c r="A602" s="8" t="s">
        <v>962</v>
      </c>
      <c r="B602" s="8" t="s">
        <v>238</v>
      </c>
      <c r="C602" s="8" t="s">
        <v>239</v>
      </c>
      <c r="D602" s="8" t="s">
        <v>240</v>
      </c>
      <c r="E602" s="8" t="s">
        <v>465</v>
      </c>
      <c r="F602" s="8" t="s">
        <v>31</v>
      </c>
      <c r="G602" s="8" t="s">
        <v>466</v>
      </c>
      <c r="H602" s="9" t="s">
        <v>18</v>
      </c>
      <c r="I602" s="10"/>
      <c r="J602" s="11" t="n">
        <f aca="false">INT((ROW()-2)/50)+1</f>
        <v>13</v>
      </c>
      <c r="K602" s="11" t="str">
        <f aca="false">IF(H602="","Pending",IF(OR(H602="0",H602="1",H602="2",H602="U"),"Complete","Invalid"))</f>
        <v>Complete</v>
      </c>
    </row>
    <row r="603" customFormat="false" ht="84" hidden="false" customHeight="true" outlineLevel="0" collapsed="false">
      <c r="A603" s="8" t="s">
        <v>963</v>
      </c>
      <c r="B603" s="8" t="s">
        <v>167</v>
      </c>
      <c r="C603" s="8" t="s">
        <v>168</v>
      </c>
      <c r="D603" s="8" t="s">
        <v>169</v>
      </c>
      <c r="E603" s="8" t="s">
        <v>454</v>
      </c>
      <c r="F603" s="8" t="s">
        <v>380</v>
      </c>
      <c r="G603" s="8" t="s">
        <v>455</v>
      </c>
      <c r="H603" s="9" t="s">
        <v>18</v>
      </c>
      <c r="I603" s="10" t="s">
        <v>964</v>
      </c>
      <c r="J603" s="11" t="n">
        <f aca="false">INT((ROW()-2)/50)+1</f>
        <v>13</v>
      </c>
      <c r="K603" s="11" t="str">
        <f aca="false">IF(H603="","Pending",IF(OR(H603="0",H603="1",H603="2",H603="U"),"Complete","Invalid"))</f>
        <v>Complete</v>
      </c>
    </row>
    <row r="604" customFormat="false" ht="84" hidden="false" customHeight="true" outlineLevel="0" collapsed="false">
      <c r="A604" s="8" t="s">
        <v>965</v>
      </c>
      <c r="B604" s="8" t="s">
        <v>80</v>
      </c>
      <c r="C604" s="8" t="s">
        <v>81</v>
      </c>
      <c r="D604" s="8" t="s">
        <v>82</v>
      </c>
      <c r="E604" s="8" t="s">
        <v>186</v>
      </c>
      <c r="F604" s="8" t="s">
        <v>73</v>
      </c>
      <c r="G604" s="8" t="s">
        <v>187</v>
      </c>
      <c r="H604" s="9" t="s">
        <v>114</v>
      </c>
      <c r="I604" s="10"/>
      <c r="J604" s="11" t="n">
        <f aca="false">INT((ROW()-2)/50)+1</f>
        <v>13</v>
      </c>
      <c r="K604" s="11" t="str">
        <f aca="false">IF(H604="","Pending",IF(OR(H604="0",H604="1",H604="2",H604="U"),"Complete","Invalid"))</f>
        <v>Complete</v>
      </c>
    </row>
    <row r="605" customFormat="false" ht="84" hidden="false" customHeight="true" outlineLevel="0" collapsed="false">
      <c r="A605" s="8" t="s">
        <v>966</v>
      </c>
      <c r="B605" s="8" t="s">
        <v>189</v>
      </c>
      <c r="C605" s="8" t="s">
        <v>190</v>
      </c>
      <c r="D605" s="8" t="s">
        <v>191</v>
      </c>
      <c r="E605" s="8" t="s">
        <v>356</v>
      </c>
      <c r="F605" s="8" t="s">
        <v>66</v>
      </c>
      <c r="G605" s="8" t="s">
        <v>357</v>
      </c>
      <c r="H605" s="9" t="s">
        <v>18</v>
      </c>
      <c r="I605" s="10"/>
      <c r="J605" s="11" t="n">
        <f aca="false">INT((ROW()-2)/50)+1</f>
        <v>13</v>
      </c>
      <c r="K605" s="11" t="str">
        <f aca="false">IF(H605="","Pending",IF(OR(H605="0",H605="1",H605="2",H605="U"),"Complete","Invalid"))</f>
        <v>Complete</v>
      </c>
    </row>
    <row r="606" customFormat="false" ht="84" hidden="false" customHeight="true" outlineLevel="0" collapsed="false">
      <c r="A606" s="8" t="s">
        <v>967</v>
      </c>
      <c r="B606" s="8" t="s">
        <v>223</v>
      </c>
      <c r="C606" s="8" t="s">
        <v>224</v>
      </c>
      <c r="D606" s="8" t="s">
        <v>225</v>
      </c>
      <c r="E606" s="8" t="s">
        <v>327</v>
      </c>
      <c r="F606" s="8" t="s">
        <v>31</v>
      </c>
      <c r="G606" s="8" t="s">
        <v>328</v>
      </c>
      <c r="H606" s="9" t="s">
        <v>18</v>
      </c>
      <c r="I606" s="10"/>
      <c r="J606" s="11" t="n">
        <f aca="false">INT((ROW()-2)/50)+1</f>
        <v>13</v>
      </c>
      <c r="K606" s="11" t="str">
        <f aca="false">IF(H606="","Pending",IF(OR(H606="0",H606="1",H606="2",H606="U"),"Complete","Invalid"))</f>
        <v>Complete</v>
      </c>
    </row>
    <row r="607" customFormat="false" ht="84" hidden="false" customHeight="true" outlineLevel="0" collapsed="false">
      <c r="A607" s="8" t="s">
        <v>968</v>
      </c>
      <c r="B607" s="8" t="s">
        <v>45</v>
      </c>
      <c r="C607" s="8" t="s">
        <v>46</v>
      </c>
      <c r="D607" s="8" t="s">
        <v>47</v>
      </c>
      <c r="E607" s="8" t="s">
        <v>404</v>
      </c>
      <c r="F607" s="8" t="s">
        <v>66</v>
      </c>
      <c r="G607" s="8" t="s">
        <v>405</v>
      </c>
      <c r="H607" s="9" t="s">
        <v>114</v>
      </c>
      <c r="I607" s="10" t="s">
        <v>969</v>
      </c>
      <c r="J607" s="11" t="n">
        <f aca="false">INT((ROW()-2)/50)+1</f>
        <v>13</v>
      </c>
      <c r="K607" s="11" t="str">
        <f aca="false">IF(H607="","Pending",IF(OR(H607="0",H607="1",H607="2",H607="U"),"Complete","Invalid"))</f>
        <v>Complete</v>
      </c>
    </row>
    <row r="608" customFormat="false" ht="84" hidden="false" customHeight="true" outlineLevel="0" collapsed="false">
      <c r="A608" s="8" t="s">
        <v>970</v>
      </c>
      <c r="B608" s="8" t="s">
        <v>341</v>
      </c>
      <c r="C608" s="8" t="s">
        <v>342</v>
      </c>
      <c r="D608" s="8" t="s">
        <v>343</v>
      </c>
      <c r="E608" s="8" t="s">
        <v>712</v>
      </c>
      <c r="F608" s="8" t="s">
        <v>88</v>
      </c>
      <c r="G608" s="8" t="s">
        <v>713</v>
      </c>
      <c r="H608" s="9" t="s">
        <v>132</v>
      </c>
      <c r="I608" s="10"/>
      <c r="J608" s="11" t="n">
        <f aca="false">INT((ROW()-2)/50)+1</f>
        <v>13</v>
      </c>
      <c r="K608" s="11" t="str">
        <f aca="false">IF(H608="","Pending",IF(OR(H608="0",H608="1",H608="2",H608="U"),"Complete","Invalid"))</f>
        <v>Complete</v>
      </c>
    </row>
    <row r="609" customFormat="false" ht="84" hidden="false" customHeight="true" outlineLevel="0" collapsed="false">
      <c r="A609" s="8" t="s">
        <v>971</v>
      </c>
      <c r="B609" s="8" t="s">
        <v>167</v>
      </c>
      <c r="C609" s="8" t="s">
        <v>168</v>
      </c>
      <c r="D609" s="8" t="s">
        <v>169</v>
      </c>
      <c r="E609" s="8" t="s">
        <v>690</v>
      </c>
      <c r="F609" s="8" t="s">
        <v>88</v>
      </c>
      <c r="G609" s="8" t="s">
        <v>691</v>
      </c>
      <c r="H609" s="9" t="s">
        <v>114</v>
      </c>
      <c r="I609" s="10" t="s">
        <v>972</v>
      </c>
      <c r="J609" s="11" t="n">
        <f aca="false">INT((ROW()-2)/50)+1</f>
        <v>13</v>
      </c>
      <c r="K609" s="11" t="str">
        <f aca="false">IF(H609="","Pending",IF(OR(H609="0",H609="1",H609="2",H609="U"),"Complete","Invalid"))</f>
        <v>Complete</v>
      </c>
    </row>
    <row r="610" customFormat="false" ht="84" hidden="false" customHeight="true" outlineLevel="0" collapsed="false">
      <c r="A610" s="8" t="s">
        <v>973</v>
      </c>
      <c r="B610" s="8" t="s">
        <v>105</v>
      </c>
      <c r="C610" s="8" t="s">
        <v>106</v>
      </c>
      <c r="D610" s="8" t="s">
        <v>107</v>
      </c>
      <c r="E610" s="8" t="s">
        <v>145</v>
      </c>
      <c r="F610" s="8" t="s">
        <v>95</v>
      </c>
      <c r="G610" s="8" t="s">
        <v>146</v>
      </c>
      <c r="H610" s="9" t="s">
        <v>18</v>
      </c>
      <c r="I610" s="10"/>
      <c r="J610" s="11" t="n">
        <f aca="false">INT((ROW()-2)/50)+1</f>
        <v>13</v>
      </c>
      <c r="K610" s="11" t="str">
        <f aca="false">IF(H610="","Pending",IF(OR(H610="0",H610="1",H610="2",H610="U"),"Complete","Invalid"))</f>
        <v>Complete</v>
      </c>
    </row>
    <row r="611" customFormat="false" ht="84" hidden="false" customHeight="true" outlineLevel="0" collapsed="false">
      <c r="A611" s="8" t="s">
        <v>974</v>
      </c>
      <c r="B611" s="8" t="s">
        <v>223</v>
      </c>
      <c r="C611" s="8" t="s">
        <v>224</v>
      </c>
      <c r="D611" s="8" t="s">
        <v>225</v>
      </c>
      <c r="E611" s="8" t="s">
        <v>404</v>
      </c>
      <c r="F611" s="8" t="s">
        <v>66</v>
      </c>
      <c r="G611" s="8" t="s">
        <v>405</v>
      </c>
      <c r="H611" s="9" t="s">
        <v>18</v>
      </c>
      <c r="I611" s="10"/>
      <c r="J611" s="11" t="n">
        <f aca="false">INT((ROW()-2)/50)+1</f>
        <v>13</v>
      </c>
      <c r="K611" s="11" t="str">
        <f aca="false">IF(H611="","Pending",IF(OR(H611="0",H611="1",H611="2",H611="U"),"Complete","Invalid"))</f>
        <v>Complete</v>
      </c>
    </row>
    <row r="612" customFormat="false" ht="84" hidden="false" customHeight="true" outlineLevel="0" collapsed="false">
      <c r="A612" s="8" t="s">
        <v>975</v>
      </c>
      <c r="B612" s="8" t="s">
        <v>80</v>
      </c>
      <c r="C612" s="8" t="s">
        <v>81</v>
      </c>
      <c r="D612" s="8" t="s">
        <v>82</v>
      </c>
      <c r="E612" s="8" t="s">
        <v>205</v>
      </c>
      <c r="F612" s="8" t="s">
        <v>38</v>
      </c>
      <c r="G612" s="8" t="s">
        <v>206</v>
      </c>
      <c r="H612" s="9" t="s">
        <v>18</v>
      </c>
      <c r="I612" s="10"/>
      <c r="J612" s="11" t="n">
        <f aca="false">INT((ROW()-2)/50)+1</f>
        <v>13</v>
      </c>
      <c r="K612" s="11" t="str">
        <f aca="false">IF(H612="","Pending",IF(OR(H612="0",H612="1",H612="2",H612="U"),"Complete","Invalid"))</f>
        <v>Complete</v>
      </c>
    </row>
    <row r="613" customFormat="false" ht="84" hidden="false" customHeight="true" outlineLevel="0" collapsed="false">
      <c r="A613" s="8" t="s">
        <v>976</v>
      </c>
      <c r="B613" s="8" t="s">
        <v>171</v>
      </c>
      <c r="C613" s="8" t="s">
        <v>172</v>
      </c>
      <c r="D613" s="8" t="s">
        <v>173</v>
      </c>
      <c r="E613" s="8" t="s">
        <v>116</v>
      </c>
      <c r="F613" s="8" t="s">
        <v>117</v>
      </c>
      <c r="G613" s="8" t="s">
        <v>118</v>
      </c>
      <c r="H613" s="9" t="s">
        <v>18</v>
      </c>
      <c r="I613" s="10"/>
      <c r="J613" s="11" t="n">
        <f aca="false">INT((ROW()-2)/50)+1</f>
        <v>13</v>
      </c>
      <c r="K613" s="11" t="str">
        <f aca="false">IF(H613="","Pending",IF(OR(H613="0",H613="1",H613="2",H613="U"),"Complete","Invalid"))</f>
        <v>Complete</v>
      </c>
    </row>
    <row r="614" customFormat="false" ht="84" hidden="false" customHeight="true" outlineLevel="0" collapsed="false">
      <c r="A614" s="8" t="s">
        <v>977</v>
      </c>
      <c r="B614" s="8" t="s">
        <v>80</v>
      </c>
      <c r="C614" s="8" t="s">
        <v>81</v>
      </c>
      <c r="D614" s="8" t="s">
        <v>82</v>
      </c>
      <c r="E614" s="8" t="s">
        <v>304</v>
      </c>
      <c r="F614" s="8" t="s">
        <v>73</v>
      </c>
      <c r="G614" s="8" t="s">
        <v>305</v>
      </c>
      <c r="H614" s="9" t="s">
        <v>114</v>
      </c>
      <c r="I614" s="10"/>
      <c r="J614" s="11" t="n">
        <f aca="false">INT((ROW()-2)/50)+1</f>
        <v>13</v>
      </c>
      <c r="K614" s="11" t="str">
        <f aca="false">IF(H614="","Pending",IF(OR(H614="0",H614="1",H614="2",H614="U"),"Complete","Invalid"))</f>
        <v>Complete</v>
      </c>
    </row>
    <row r="615" customFormat="false" ht="84" hidden="false" customHeight="true" outlineLevel="0" collapsed="false">
      <c r="A615" s="8" t="s">
        <v>978</v>
      </c>
      <c r="B615" s="8" t="s">
        <v>134</v>
      </c>
      <c r="C615" s="8" t="s">
        <v>135</v>
      </c>
      <c r="D615" s="8" t="s">
        <v>136</v>
      </c>
      <c r="E615" s="8" t="s">
        <v>356</v>
      </c>
      <c r="F615" s="8" t="s">
        <v>66</v>
      </c>
      <c r="G615" s="8" t="s">
        <v>357</v>
      </c>
      <c r="H615" s="9" t="s">
        <v>132</v>
      </c>
      <c r="I615" s="10"/>
      <c r="J615" s="11" t="n">
        <f aca="false">INT((ROW()-2)/50)+1</f>
        <v>13</v>
      </c>
      <c r="K615" s="11" t="str">
        <f aca="false">IF(H615="","Pending",IF(OR(H615="0",H615="1",H615="2",H615="U"),"Complete","Invalid"))</f>
        <v>Complete</v>
      </c>
    </row>
    <row r="616" customFormat="false" ht="84" hidden="false" customHeight="true" outlineLevel="0" collapsed="false">
      <c r="A616" s="8" t="s">
        <v>979</v>
      </c>
      <c r="B616" s="8" t="s">
        <v>248</v>
      </c>
      <c r="C616" s="8" t="s">
        <v>249</v>
      </c>
      <c r="D616" s="8" t="s">
        <v>250</v>
      </c>
      <c r="E616" s="8" t="s">
        <v>336</v>
      </c>
      <c r="F616" s="8" t="s">
        <v>55</v>
      </c>
      <c r="G616" s="8" t="s">
        <v>337</v>
      </c>
      <c r="H616" s="9" t="s">
        <v>132</v>
      </c>
      <c r="I616" s="10"/>
      <c r="J616" s="11" t="n">
        <f aca="false">INT((ROW()-2)/50)+1</f>
        <v>13</v>
      </c>
      <c r="K616" s="11" t="str">
        <f aca="false">IF(H616="","Pending",IF(OR(H616="0",H616="1",H616="2",H616="U"),"Complete","Invalid"))</f>
        <v>Complete</v>
      </c>
    </row>
    <row r="617" customFormat="false" ht="84" hidden="false" customHeight="true" outlineLevel="0" collapsed="false">
      <c r="A617" s="8" t="s">
        <v>980</v>
      </c>
      <c r="B617" s="8" t="s">
        <v>34</v>
      </c>
      <c r="C617" s="8" t="s">
        <v>35</v>
      </c>
      <c r="D617" s="8" t="s">
        <v>36</v>
      </c>
      <c r="E617" s="8" t="s">
        <v>307</v>
      </c>
      <c r="F617" s="8" t="s">
        <v>31</v>
      </c>
      <c r="G617" s="8" t="s">
        <v>308</v>
      </c>
      <c r="H617" s="9" t="s">
        <v>18</v>
      </c>
      <c r="I617" s="10"/>
      <c r="J617" s="11" t="n">
        <f aca="false">INT((ROW()-2)/50)+1</f>
        <v>13</v>
      </c>
      <c r="K617" s="11" t="str">
        <f aca="false">IF(H617="","Pending",IF(OR(H617="0",H617="1",H617="2",H617="U"),"Complete","Invalid"))</f>
        <v>Complete</v>
      </c>
    </row>
    <row r="618" customFormat="false" ht="84" hidden="false" customHeight="true" outlineLevel="0" collapsed="false">
      <c r="A618" s="8" t="s">
        <v>981</v>
      </c>
      <c r="B618" s="8" t="s">
        <v>341</v>
      </c>
      <c r="C618" s="8" t="s">
        <v>342</v>
      </c>
      <c r="D618" s="8" t="s">
        <v>343</v>
      </c>
      <c r="E618" s="8" t="s">
        <v>454</v>
      </c>
      <c r="F618" s="8" t="s">
        <v>380</v>
      </c>
      <c r="G618" s="8" t="s">
        <v>455</v>
      </c>
      <c r="H618" s="9" t="s">
        <v>18</v>
      </c>
      <c r="I618" s="10" t="s">
        <v>346</v>
      </c>
      <c r="J618" s="11" t="n">
        <f aca="false">INT((ROW()-2)/50)+1</f>
        <v>13</v>
      </c>
      <c r="K618" s="11" t="str">
        <f aca="false">IF(H618="","Pending",IF(OR(H618="0",H618="1",H618="2",H618="U"),"Complete","Invalid"))</f>
        <v>Complete</v>
      </c>
    </row>
    <row r="619" customFormat="false" ht="84" hidden="false" customHeight="true" outlineLevel="0" collapsed="false">
      <c r="A619" s="8" t="s">
        <v>982</v>
      </c>
      <c r="B619" s="8" t="s">
        <v>69</v>
      </c>
      <c r="C619" s="8" t="s">
        <v>70</v>
      </c>
      <c r="D619" s="8" t="s">
        <v>71</v>
      </c>
      <c r="E619" s="8" t="s">
        <v>771</v>
      </c>
      <c r="F619" s="8" t="s">
        <v>216</v>
      </c>
      <c r="G619" s="8" t="s">
        <v>772</v>
      </c>
      <c r="H619" s="9" t="s">
        <v>114</v>
      </c>
      <c r="I619" s="10"/>
      <c r="J619" s="11" t="n">
        <f aca="false">INT((ROW()-2)/50)+1</f>
        <v>13</v>
      </c>
      <c r="K619" s="11" t="str">
        <f aca="false">IF(H619="","Pending",IF(OR(H619="0",H619="1",H619="2",H619="U"),"Complete","Invalid"))</f>
        <v>Complete</v>
      </c>
    </row>
    <row r="620" customFormat="false" ht="84" hidden="false" customHeight="true" outlineLevel="0" collapsed="false">
      <c r="A620" s="8" t="s">
        <v>983</v>
      </c>
      <c r="B620" s="8" t="s">
        <v>34</v>
      </c>
      <c r="C620" s="8" t="s">
        <v>35</v>
      </c>
      <c r="D620" s="8" t="s">
        <v>36</v>
      </c>
      <c r="E620" s="8" t="s">
        <v>126</v>
      </c>
      <c r="F620" s="8" t="s">
        <v>73</v>
      </c>
      <c r="G620" s="8" t="s">
        <v>127</v>
      </c>
      <c r="H620" s="9" t="s">
        <v>18</v>
      </c>
      <c r="I620" s="10"/>
      <c r="J620" s="11" t="n">
        <f aca="false">INT((ROW()-2)/50)+1</f>
        <v>13</v>
      </c>
      <c r="K620" s="11" t="str">
        <f aca="false">IF(H620="","Pending",IF(OR(H620="0",H620="1",H620="2",H620="U"),"Complete","Invalid"))</f>
        <v>Complete</v>
      </c>
    </row>
    <row r="621" customFormat="false" ht="84" hidden="false" customHeight="true" outlineLevel="0" collapsed="false">
      <c r="A621" s="8" t="s">
        <v>984</v>
      </c>
      <c r="B621" s="8" t="s">
        <v>167</v>
      </c>
      <c r="C621" s="8" t="s">
        <v>168</v>
      </c>
      <c r="D621" s="8" t="s">
        <v>169</v>
      </c>
      <c r="E621" s="8" t="s">
        <v>985</v>
      </c>
      <c r="F621" s="8" t="s">
        <v>38</v>
      </c>
      <c r="G621" s="8" t="s">
        <v>986</v>
      </c>
      <c r="H621" s="9" t="s">
        <v>18</v>
      </c>
      <c r="I621" s="10"/>
      <c r="J621" s="11" t="n">
        <f aca="false">INT((ROW()-2)/50)+1</f>
        <v>13</v>
      </c>
      <c r="K621" s="11" t="str">
        <f aca="false">IF(H621="","Pending",IF(OR(H621="0",H621="1",H621="2",H621="U"),"Complete","Invalid"))</f>
        <v>Complete</v>
      </c>
    </row>
    <row r="622" customFormat="false" ht="84" hidden="false" customHeight="true" outlineLevel="0" collapsed="false">
      <c r="A622" s="8" t="s">
        <v>987</v>
      </c>
      <c r="B622" s="8" t="s">
        <v>271</v>
      </c>
      <c r="C622" s="8" t="s">
        <v>272</v>
      </c>
      <c r="D622" s="8" t="s">
        <v>273</v>
      </c>
      <c r="E622" s="8" t="s">
        <v>186</v>
      </c>
      <c r="F622" s="8" t="s">
        <v>73</v>
      </c>
      <c r="G622" s="8" t="s">
        <v>187</v>
      </c>
      <c r="H622" s="9" t="s">
        <v>18</v>
      </c>
      <c r="I622" s="10"/>
      <c r="J622" s="11" t="n">
        <f aca="false">INT((ROW()-2)/50)+1</f>
        <v>13</v>
      </c>
      <c r="K622" s="11" t="str">
        <f aca="false">IF(H622="","Pending",IF(OR(H622="0",H622="1",H622="2",H622="U"),"Complete","Invalid"))</f>
        <v>Complete</v>
      </c>
    </row>
    <row r="623" customFormat="false" ht="84" hidden="false" customHeight="true" outlineLevel="0" collapsed="false">
      <c r="A623" s="8" t="s">
        <v>988</v>
      </c>
      <c r="B623" s="8" t="s">
        <v>248</v>
      </c>
      <c r="C623" s="8" t="s">
        <v>249</v>
      </c>
      <c r="D623" s="8" t="s">
        <v>250</v>
      </c>
      <c r="E623" s="8" t="s">
        <v>30</v>
      </c>
      <c r="F623" s="8" t="s">
        <v>31</v>
      </c>
      <c r="G623" s="8" t="s">
        <v>32</v>
      </c>
      <c r="H623" s="9" t="s">
        <v>18</v>
      </c>
      <c r="I623" s="10"/>
      <c r="J623" s="11" t="n">
        <f aca="false">INT((ROW()-2)/50)+1</f>
        <v>13</v>
      </c>
      <c r="K623" s="11" t="str">
        <f aca="false">IF(H623="","Pending",IF(OR(H623="0",H623="1",H623="2",H623="U"),"Complete","Invalid"))</f>
        <v>Complete</v>
      </c>
    </row>
    <row r="624" customFormat="false" ht="84" hidden="false" customHeight="true" outlineLevel="0" collapsed="false">
      <c r="A624" s="8" t="s">
        <v>989</v>
      </c>
      <c r="B624" s="8" t="s">
        <v>198</v>
      </c>
      <c r="C624" s="8" t="s">
        <v>199</v>
      </c>
      <c r="D624" s="8" t="s">
        <v>200</v>
      </c>
      <c r="E624" s="8" t="s">
        <v>54</v>
      </c>
      <c r="F624" s="8" t="s">
        <v>55</v>
      </c>
      <c r="G624" s="8" t="s">
        <v>56</v>
      </c>
      <c r="H624" s="9" t="s">
        <v>18</v>
      </c>
      <c r="I624" s="10"/>
      <c r="J624" s="11" t="n">
        <f aca="false">INT((ROW()-2)/50)+1</f>
        <v>13</v>
      </c>
      <c r="K624" s="11" t="str">
        <f aca="false">IF(H624="","Pending",IF(OR(H624="0",H624="1",H624="2",H624="U"),"Complete","Invalid"))</f>
        <v>Complete</v>
      </c>
    </row>
    <row r="625" customFormat="false" ht="84" hidden="false" customHeight="true" outlineLevel="0" collapsed="false">
      <c r="A625" s="8" t="s">
        <v>990</v>
      </c>
      <c r="B625" s="8" t="s">
        <v>148</v>
      </c>
      <c r="C625" s="8" t="s">
        <v>149</v>
      </c>
      <c r="D625" s="8" t="s">
        <v>150</v>
      </c>
      <c r="E625" s="8" t="s">
        <v>777</v>
      </c>
      <c r="F625" s="8" t="s">
        <v>380</v>
      </c>
      <c r="G625" s="8" t="s">
        <v>778</v>
      </c>
      <c r="H625" s="9" t="s">
        <v>114</v>
      </c>
      <c r="I625" s="10"/>
      <c r="J625" s="11" t="n">
        <f aca="false">INT((ROW()-2)/50)+1</f>
        <v>13</v>
      </c>
      <c r="K625" s="11" t="str">
        <f aca="false">IF(H625="","Pending",IF(OR(H625="0",H625="1",H625="2",H625="U"),"Complete","Invalid"))</f>
        <v>Complete</v>
      </c>
    </row>
    <row r="626" customFormat="false" ht="84" hidden="false" customHeight="true" outlineLevel="0" collapsed="false">
      <c r="A626" s="8" t="s">
        <v>991</v>
      </c>
      <c r="B626" s="8" t="s">
        <v>341</v>
      </c>
      <c r="C626" s="8" t="s">
        <v>342</v>
      </c>
      <c r="D626" s="8" t="s">
        <v>343</v>
      </c>
      <c r="E626" s="8" t="s">
        <v>141</v>
      </c>
      <c r="F626" s="8" t="s">
        <v>142</v>
      </c>
      <c r="G626" s="8" t="s">
        <v>143</v>
      </c>
      <c r="H626" s="9" t="s">
        <v>18</v>
      </c>
      <c r="I626" s="10" t="s">
        <v>346</v>
      </c>
      <c r="J626" s="11" t="n">
        <f aca="false">INT((ROW()-2)/50)+1</f>
        <v>13</v>
      </c>
      <c r="K626" s="11" t="str">
        <f aca="false">IF(H626="","Pending",IF(OR(H626="0",H626="1",H626="2",H626="U"),"Complete","Invalid"))</f>
        <v>Complete</v>
      </c>
    </row>
    <row r="627" customFormat="false" ht="84" hidden="false" customHeight="true" outlineLevel="0" collapsed="false">
      <c r="A627" s="8" t="s">
        <v>992</v>
      </c>
      <c r="B627" s="8" t="s">
        <v>58</v>
      </c>
      <c r="C627" s="8" t="s">
        <v>59</v>
      </c>
      <c r="D627" s="8" t="s">
        <v>60</v>
      </c>
      <c r="E627" s="8" t="s">
        <v>262</v>
      </c>
      <c r="F627" s="8" t="s">
        <v>263</v>
      </c>
      <c r="G627" s="8" t="s">
        <v>264</v>
      </c>
      <c r="H627" s="9" t="s">
        <v>18</v>
      </c>
      <c r="I627" s="10"/>
      <c r="J627" s="11" t="n">
        <f aca="false">INT((ROW()-2)/50)+1</f>
        <v>13</v>
      </c>
      <c r="K627" s="11" t="str">
        <f aca="false">IF(H627="","Pending",IF(OR(H627="0",H627="1",H627="2",H627="U"),"Complete","Invalid"))</f>
        <v>Complete</v>
      </c>
    </row>
    <row r="628" customFormat="false" ht="84" hidden="false" customHeight="true" outlineLevel="0" collapsed="false">
      <c r="A628" s="8" t="s">
        <v>993</v>
      </c>
      <c r="B628" s="8" t="s">
        <v>312</v>
      </c>
      <c r="C628" s="8" t="s">
        <v>313</v>
      </c>
      <c r="D628" s="8" t="s">
        <v>314</v>
      </c>
      <c r="E628" s="8" t="s">
        <v>401</v>
      </c>
      <c r="F628" s="8" t="s">
        <v>31</v>
      </c>
      <c r="G628" s="8" t="s">
        <v>402</v>
      </c>
      <c r="H628" s="9" t="s">
        <v>132</v>
      </c>
      <c r="I628" s="10" t="s">
        <v>994</v>
      </c>
      <c r="J628" s="11" t="n">
        <f aca="false">INT((ROW()-2)/50)+1</f>
        <v>13</v>
      </c>
      <c r="K628" s="11" t="str">
        <f aca="false">IF(H628="","Pending",IF(OR(H628="0",H628="1",H628="2",H628="U"),"Complete","Invalid"))</f>
        <v>Complete</v>
      </c>
    </row>
    <row r="629" customFormat="false" ht="84" hidden="false" customHeight="true" outlineLevel="0" collapsed="false">
      <c r="A629" s="8" t="s">
        <v>995</v>
      </c>
      <c r="B629" s="8" t="s">
        <v>299</v>
      </c>
      <c r="C629" s="8" t="s">
        <v>300</v>
      </c>
      <c r="D629" s="8" t="s">
        <v>301</v>
      </c>
      <c r="E629" s="8" t="s">
        <v>459</v>
      </c>
      <c r="F629" s="8" t="s">
        <v>460</v>
      </c>
      <c r="G629" s="8" t="s">
        <v>461</v>
      </c>
      <c r="H629" s="9" t="s">
        <v>18</v>
      </c>
      <c r="I629" s="10"/>
      <c r="J629" s="11" t="n">
        <f aca="false">INT((ROW()-2)/50)+1</f>
        <v>13</v>
      </c>
      <c r="K629" s="11" t="str">
        <f aca="false">IF(H629="","Pending",IF(OR(H629="0",H629="1",H629="2",H629="U"),"Complete","Invalid"))</f>
        <v>Complete</v>
      </c>
    </row>
    <row r="630" customFormat="false" ht="84" hidden="false" customHeight="true" outlineLevel="0" collapsed="false">
      <c r="A630" s="8" t="s">
        <v>996</v>
      </c>
      <c r="B630" s="8" t="s">
        <v>69</v>
      </c>
      <c r="C630" s="8" t="s">
        <v>70</v>
      </c>
      <c r="D630" s="8" t="s">
        <v>71</v>
      </c>
      <c r="E630" s="8" t="s">
        <v>126</v>
      </c>
      <c r="F630" s="8" t="s">
        <v>73</v>
      </c>
      <c r="G630" s="8" t="s">
        <v>127</v>
      </c>
      <c r="H630" s="9" t="s">
        <v>18</v>
      </c>
      <c r="I630" s="10"/>
      <c r="J630" s="11" t="n">
        <f aca="false">INT((ROW()-2)/50)+1</f>
        <v>13</v>
      </c>
      <c r="K630" s="11" t="str">
        <f aca="false">IF(H630="","Pending",IF(OR(H630="0",H630="1",H630="2",H630="U"),"Complete","Invalid"))</f>
        <v>Complete</v>
      </c>
    </row>
    <row r="631" customFormat="false" ht="84" hidden="false" customHeight="true" outlineLevel="0" collapsed="false">
      <c r="A631" s="8" t="s">
        <v>997</v>
      </c>
      <c r="B631" s="8" t="s">
        <v>80</v>
      </c>
      <c r="C631" s="8" t="s">
        <v>81</v>
      </c>
      <c r="D631" s="8" t="s">
        <v>82</v>
      </c>
      <c r="E631" s="8" t="s">
        <v>164</v>
      </c>
      <c r="F631" s="8" t="s">
        <v>73</v>
      </c>
      <c r="G631" s="8" t="s">
        <v>165</v>
      </c>
      <c r="H631" s="9" t="s">
        <v>114</v>
      </c>
      <c r="I631" s="10"/>
      <c r="J631" s="11" t="n">
        <f aca="false">INT((ROW()-2)/50)+1</f>
        <v>13</v>
      </c>
      <c r="K631" s="11" t="str">
        <f aca="false">IF(H631="","Pending",IF(OR(H631="0",H631="1",H631="2",H631="U"),"Complete","Invalid"))</f>
        <v>Complete</v>
      </c>
    </row>
    <row r="632" customFormat="false" ht="84" hidden="false" customHeight="true" outlineLevel="0" collapsed="false">
      <c r="A632" s="8" t="s">
        <v>998</v>
      </c>
      <c r="B632" s="8" t="s">
        <v>91</v>
      </c>
      <c r="C632" s="8" t="s">
        <v>92</v>
      </c>
      <c r="D632" s="8" t="s">
        <v>93</v>
      </c>
      <c r="E632" s="8" t="s">
        <v>179</v>
      </c>
      <c r="F632" s="8" t="s">
        <v>66</v>
      </c>
      <c r="G632" s="8" t="s">
        <v>180</v>
      </c>
      <c r="H632" s="9" t="s">
        <v>18</v>
      </c>
      <c r="I632" s="10"/>
      <c r="J632" s="11" t="n">
        <f aca="false">INT((ROW()-2)/50)+1</f>
        <v>13</v>
      </c>
      <c r="K632" s="11" t="str">
        <f aca="false">IF(H632="","Pending",IF(OR(H632="0",H632="1",H632="2",H632="U"),"Complete","Invalid"))</f>
        <v>Complete</v>
      </c>
    </row>
    <row r="633" customFormat="false" ht="84" hidden="false" customHeight="true" outlineLevel="0" collapsed="false">
      <c r="A633" s="8" t="s">
        <v>999</v>
      </c>
      <c r="B633" s="8" t="s">
        <v>91</v>
      </c>
      <c r="C633" s="8" t="s">
        <v>92</v>
      </c>
      <c r="D633" s="8" t="s">
        <v>93</v>
      </c>
      <c r="E633" s="8" t="s">
        <v>383</v>
      </c>
      <c r="F633" s="8" t="s">
        <v>380</v>
      </c>
      <c r="G633" s="8" t="s">
        <v>384</v>
      </c>
      <c r="H633" s="9" t="s">
        <v>114</v>
      </c>
      <c r="I633" s="10"/>
      <c r="J633" s="11" t="n">
        <f aca="false">INT((ROW()-2)/50)+1</f>
        <v>13</v>
      </c>
      <c r="K633" s="11" t="str">
        <f aca="false">IF(H633="","Pending",IF(OR(H633="0",H633="1",H633="2",H633="U"),"Complete","Invalid"))</f>
        <v>Complete</v>
      </c>
    </row>
    <row r="634" customFormat="false" ht="84" hidden="false" customHeight="true" outlineLevel="0" collapsed="false">
      <c r="A634" s="8" t="s">
        <v>1000</v>
      </c>
      <c r="B634" s="8" t="s">
        <v>80</v>
      </c>
      <c r="C634" s="8" t="s">
        <v>81</v>
      </c>
      <c r="D634" s="8" t="s">
        <v>82</v>
      </c>
      <c r="E634" s="8" t="s">
        <v>372</v>
      </c>
      <c r="F634" s="8" t="s">
        <v>55</v>
      </c>
      <c r="G634" s="8" t="s">
        <v>373</v>
      </c>
      <c r="H634" s="9" t="s">
        <v>18</v>
      </c>
      <c r="I634" s="10"/>
      <c r="J634" s="11" t="n">
        <f aca="false">INT((ROW()-2)/50)+1</f>
        <v>13</v>
      </c>
      <c r="K634" s="11" t="str">
        <f aca="false">IF(H634="","Pending",IF(OR(H634="0",H634="1",H634="2",H634="U"),"Complete","Invalid"))</f>
        <v>Complete</v>
      </c>
    </row>
    <row r="635" customFormat="false" ht="84" hidden="false" customHeight="true" outlineLevel="0" collapsed="false">
      <c r="A635" s="8" t="s">
        <v>1001</v>
      </c>
      <c r="B635" s="8" t="s">
        <v>341</v>
      </c>
      <c r="C635" s="8" t="s">
        <v>342</v>
      </c>
      <c r="D635" s="8" t="s">
        <v>343</v>
      </c>
      <c r="E635" s="8" t="s">
        <v>690</v>
      </c>
      <c r="F635" s="8" t="s">
        <v>88</v>
      </c>
      <c r="G635" s="8" t="s">
        <v>691</v>
      </c>
      <c r="H635" s="9" t="s">
        <v>114</v>
      </c>
      <c r="I635" s="10" t="s">
        <v>1002</v>
      </c>
      <c r="J635" s="11" t="n">
        <f aca="false">INT((ROW()-2)/50)+1</f>
        <v>13</v>
      </c>
      <c r="K635" s="11" t="str">
        <f aca="false">IF(H635="","Pending",IF(OR(H635="0",H635="1",H635="2",H635="U"),"Complete","Invalid"))</f>
        <v>Complete</v>
      </c>
    </row>
    <row r="636" customFormat="false" ht="84" hidden="false" customHeight="true" outlineLevel="0" collapsed="false">
      <c r="A636" s="8" t="s">
        <v>1003</v>
      </c>
      <c r="B636" s="8" t="s">
        <v>41</v>
      </c>
      <c r="C636" s="8" t="s">
        <v>42</v>
      </c>
      <c r="D636" s="8" t="s">
        <v>43</v>
      </c>
      <c r="E636" s="8" t="s">
        <v>94</v>
      </c>
      <c r="F636" s="8" t="s">
        <v>95</v>
      </c>
      <c r="G636" s="8" t="s">
        <v>96</v>
      </c>
      <c r="H636" s="9" t="s">
        <v>18</v>
      </c>
      <c r="I636" s="10"/>
      <c r="J636" s="11" t="n">
        <f aca="false">INT((ROW()-2)/50)+1</f>
        <v>13</v>
      </c>
      <c r="K636" s="11" t="str">
        <f aca="false">IF(H636="","Pending",IF(OR(H636="0",H636="1",H636="2",H636="U"),"Complete","Invalid"))</f>
        <v>Complete</v>
      </c>
    </row>
    <row r="637" customFormat="false" ht="84" hidden="false" customHeight="true" outlineLevel="0" collapsed="false">
      <c r="A637" s="8" t="s">
        <v>1004</v>
      </c>
      <c r="B637" s="8" t="s">
        <v>341</v>
      </c>
      <c r="C637" s="8" t="s">
        <v>342</v>
      </c>
      <c r="D637" s="8" t="s">
        <v>343</v>
      </c>
      <c r="E637" s="8" t="s">
        <v>777</v>
      </c>
      <c r="F637" s="8" t="s">
        <v>380</v>
      </c>
      <c r="G637" s="8" t="s">
        <v>778</v>
      </c>
      <c r="H637" s="9" t="s">
        <v>18</v>
      </c>
      <c r="I637" s="10" t="s">
        <v>346</v>
      </c>
      <c r="J637" s="11" t="n">
        <f aca="false">INT((ROW()-2)/50)+1</f>
        <v>13</v>
      </c>
      <c r="K637" s="11" t="str">
        <f aca="false">IF(H637="","Pending",IF(OR(H637="0",H637="1",H637="2",H637="U"),"Complete","Invalid"))</f>
        <v>Complete</v>
      </c>
    </row>
    <row r="638" customFormat="false" ht="84" hidden="false" customHeight="true" outlineLevel="0" collapsed="false">
      <c r="A638" s="8" t="s">
        <v>1005</v>
      </c>
      <c r="B638" s="8" t="s">
        <v>51</v>
      </c>
      <c r="C638" s="8" t="s">
        <v>52</v>
      </c>
      <c r="D638" s="8" t="s">
        <v>53</v>
      </c>
      <c r="E638" s="8" t="s">
        <v>445</v>
      </c>
      <c r="F638" s="8" t="s">
        <v>84</v>
      </c>
      <c r="G638" s="8" t="s">
        <v>446</v>
      </c>
      <c r="H638" s="9" t="s">
        <v>18</v>
      </c>
      <c r="I638" s="10"/>
      <c r="J638" s="11" t="n">
        <f aca="false">INT((ROW()-2)/50)+1</f>
        <v>13</v>
      </c>
      <c r="K638" s="11" t="str">
        <f aca="false">IF(H638="","Pending",IF(OR(H638="0",H638="1",H638="2",H638="U"),"Complete","Invalid"))</f>
        <v>Complete</v>
      </c>
    </row>
    <row r="639" customFormat="false" ht="84" hidden="false" customHeight="true" outlineLevel="0" collapsed="false">
      <c r="A639" s="8" t="s">
        <v>1006</v>
      </c>
      <c r="B639" s="8" t="s">
        <v>155</v>
      </c>
      <c r="C639" s="8" t="s">
        <v>156</v>
      </c>
      <c r="D639" s="8" t="s">
        <v>157</v>
      </c>
      <c r="E639" s="8" t="s">
        <v>569</v>
      </c>
      <c r="F639" s="8" t="s">
        <v>31</v>
      </c>
      <c r="G639" s="8" t="s">
        <v>570</v>
      </c>
      <c r="H639" s="9" t="s">
        <v>18</v>
      </c>
      <c r="I639" s="10"/>
      <c r="J639" s="11" t="n">
        <f aca="false">INT((ROW()-2)/50)+1</f>
        <v>13</v>
      </c>
      <c r="K639" s="11" t="str">
        <f aca="false">IF(H639="","Pending",IF(OR(H639="0",H639="1",H639="2",H639="U"),"Complete","Invalid"))</f>
        <v>Complete</v>
      </c>
    </row>
    <row r="640" customFormat="false" ht="84" hidden="false" customHeight="true" outlineLevel="0" collapsed="false">
      <c r="A640" s="8" t="s">
        <v>1007</v>
      </c>
      <c r="B640" s="8" t="s">
        <v>209</v>
      </c>
      <c r="C640" s="8" t="s">
        <v>210</v>
      </c>
      <c r="D640" s="8" t="s">
        <v>211</v>
      </c>
      <c r="E640" s="8" t="s">
        <v>559</v>
      </c>
      <c r="F640" s="8" t="s">
        <v>202</v>
      </c>
      <c r="G640" s="8" t="s">
        <v>560</v>
      </c>
      <c r="H640" s="9" t="s">
        <v>132</v>
      </c>
      <c r="I640" s="10"/>
      <c r="J640" s="11" t="n">
        <f aca="false">INT((ROW()-2)/50)+1</f>
        <v>13</v>
      </c>
      <c r="K640" s="11" t="str">
        <f aca="false">IF(H640="","Pending",IF(OR(H640="0",H640="1",H640="2",H640="U"),"Complete","Invalid"))</f>
        <v>Complete</v>
      </c>
    </row>
    <row r="641" customFormat="false" ht="84" hidden="false" customHeight="true" outlineLevel="0" collapsed="false">
      <c r="A641" s="8" t="s">
        <v>1008</v>
      </c>
      <c r="B641" s="8" t="s">
        <v>58</v>
      </c>
      <c r="C641" s="8" t="s">
        <v>59</v>
      </c>
      <c r="D641" s="8" t="s">
        <v>60</v>
      </c>
      <c r="E641" s="8" t="s">
        <v>304</v>
      </c>
      <c r="F641" s="8" t="s">
        <v>73</v>
      </c>
      <c r="G641" s="8" t="s">
        <v>305</v>
      </c>
      <c r="H641" s="9" t="s">
        <v>18</v>
      </c>
      <c r="I641" s="10"/>
      <c r="J641" s="11" t="n">
        <f aca="false">INT((ROW()-2)/50)+1</f>
        <v>13</v>
      </c>
      <c r="K641" s="11" t="str">
        <f aca="false">IF(H641="","Pending",IF(OR(H641="0",H641="1",H641="2",H641="U"),"Complete","Invalid"))</f>
        <v>Complete</v>
      </c>
    </row>
    <row r="642" customFormat="false" ht="84" hidden="false" customHeight="true" outlineLevel="0" collapsed="false">
      <c r="A642" s="8" t="s">
        <v>1009</v>
      </c>
      <c r="B642" s="8" t="s">
        <v>20</v>
      </c>
      <c r="C642" s="8" t="s">
        <v>21</v>
      </c>
      <c r="D642" s="8" t="s">
        <v>22</v>
      </c>
      <c r="E642" s="8" t="s">
        <v>37</v>
      </c>
      <c r="F642" s="8" t="s">
        <v>38</v>
      </c>
      <c r="G642" s="8" t="s">
        <v>39</v>
      </c>
      <c r="H642" s="9" t="s">
        <v>18</v>
      </c>
      <c r="I642" s="10"/>
      <c r="J642" s="11" t="n">
        <f aca="false">INT((ROW()-2)/50)+1</f>
        <v>13</v>
      </c>
      <c r="K642" s="11" t="str">
        <f aca="false">IF(H642="","Pending",IF(OR(H642="0",H642="1",H642="2",H642="U"),"Complete","Invalid"))</f>
        <v>Complete</v>
      </c>
    </row>
    <row r="643" customFormat="false" ht="84" hidden="false" customHeight="true" outlineLevel="0" collapsed="false">
      <c r="A643" s="8" t="s">
        <v>1010</v>
      </c>
      <c r="B643" s="8" t="s">
        <v>134</v>
      </c>
      <c r="C643" s="8" t="s">
        <v>135</v>
      </c>
      <c r="D643" s="8" t="s">
        <v>136</v>
      </c>
      <c r="E643" s="8" t="s">
        <v>186</v>
      </c>
      <c r="F643" s="8" t="s">
        <v>73</v>
      </c>
      <c r="G643" s="8" t="s">
        <v>187</v>
      </c>
      <c r="H643" s="9" t="s">
        <v>18</v>
      </c>
      <c r="I643" s="10"/>
      <c r="J643" s="11" t="n">
        <f aca="false">INT((ROW()-2)/50)+1</f>
        <v>13</v>
      </c>
      <c r="K643" s="11" t="str">
        <f aca="false">IF(H643="","Pending",IF(OR(H643="0",H643="1",H643="2",H643="U"),"Complete","Invalid"))</f>
        <v>Complete</v>
      </c>
    </row>
    <row r="644" customFormat="false" ht="84" hidden="false" customHeight="true" outlineLevel="0" collapsed="false">
      <c r="A644" s="8" t="s">
        <v>1011</v>
      </c>
      <c r="B644" s="8" t="s">
        <v>299</v>
      </c>
      <c r="C644" s="8" t="s">
        <v>300</v>
      </c>
      <c r="D644" s="8" t="s">
        <v>301</v>
      </c>
      <c r="E644" s="8" t="s">
        <v>15</v>
      </c>
      <c r="F644" s="8" t="s">
        <v>16</v>
      </c>
      <c r="G644" s="8" t="s">
        <v>17</v>
      </c>
      <c r="H644" s="9" t="s">
        <v>18</v>
      </c>
      <c r="I644" s="10"/>
      <c r="J644" s="11" t="n">
        <f aca="false">INT((ROW()-2)/50)+1</f>
        <v>13</v>
      </c>
      <c r="K644" s="11" t="str">
        <f aca="false">IF(H644="","Pending",IF(OR(H644="0",H644="1",H644="2",H644="U"),"Complete","Invalid"))</f>
        <v>Complete</v>
      </c>
    </row>
    <row r="645" customFormat="false" ht="84" hidden="false" customHeight="true" outlineLevel="0" collapsed="false">
      <c r="A645" s="8" t="s">
        <v>1012</v>
      </c>
      <c r="B645" s="8" t="s">
        <v>80</v>
      </c>
      <c r="C645" s="8" t="s">
        <v>81</v>
      </c>
      <c r="D645" s="8" t="s">
        <v>82</v>
      </c>
      <c r="E645" s="8" t="s">
        <v>282</v>
      </c>
      <c r="F645" s="8" t="s">
        <v>24</v>
      </c>
      <c r="G645" s="8" t="s">
        <v>283</v>
      </c>
      <c r="H645" s="9" t="s">
        <v>18</v>
      </c>
      <c r="I645" s="10"/>
      <c r="J645" s="11" t="n">
        <f aca="false">INT((ROW()-2)/50)+1</f>
        <v>13</v>
      </c>
      <c r="K645" s="11" t="str">
        <f aca="false">IF(H645="","Pending",IF(OR(H645="0",H645="1",H645="2",H645="U"),"Complete","Invalid"))</f>
        <v>Complete</v>
      </c>
    </row>
    <row r="646" customFormat="false" ht="84" hidden="false" customHeight="true" outlineLevel="0" collapsed="false">
      <c r="A646" s="8" t="s">
        <v>1013</v>
      </c>
      <c r="B646" s="8" t="s">
        <v>148</v>
      </c>
      <c r="C646" s="8" t="s">
        <v>149</v>
      </c>
      <c r="D646" s="8" t="s">
        <v>150</v>
      </c>
      <c r="E646" s="8" t="s">
        <v>383</v>
      </c>
      <c r="F646" s="8" t="s">
        <v>380</v>
      </c>
      <c r="G646" s="8" t="s">
        <v>384</v>
      </c>
      <c r="H646" s="9" t="s">
        <v>132</v>
      </c>
      <c r="I646" s="10"/>
      <c r="J646" s="11" t="n">
        <f aca="false">INT((ROW()-2)/50)+1</f>
        <v>13</v>
      </c>
      <c r="K646" s="11" t="str">
        <f aca="false">IF(H646="","Pending",IF(OR(H646="0",H646="1",H646="2",H646="U"),"Complete","Invalid"))</f>
        <v>Complete</v>
      </c>
    </row>
    <row r="647" customFormat="false" ht="84" hidden="false" customHeight="true" outlineLevel="0" collapsed="false">
      <c r="A647" s="8" t="s">
        <v>1014</v>
      </c>
      <c r="B647" s="8" t="s">
        <v>238</v>
      </c>
      <c r="C647" s="8" t="s">
        <v>239</v>
      </c>
      <c r="D647" s="8" t="s">
        <v>240</v>
      </c>
      <c r="E647" s="8" t="s">
        <v>54</v>
      </c>
      <c r="F647" s="8" t="s">
        <v>55</v>
      </c>
      <c r="G647" s="8" t="s">
        <v>56</v>
      </c>
      <c r="H647" s="9" t="s">
        <v>18</v>
      </c>
      <c r="I647" s="10"/>
      <c r="J647" s="11" t="n">
        <f aca="false">INT((ROW()-2)/50)+1</f>
        <v>13</v>
      </c>
      <c r="K647" s="11" t="str">
        <f aca="false">IF(H647="","Pending",IF(OR(H647="0",H647="1",H647="2",H647="U"),"Complete","Invalid"))</f>
        <v>Complete</v>
      </c>
    </row>
    <row r="648" customFormat="false" ht="84" hidden="false" customHeight="true" outlineLevel="0" collapsed="false">
      <c r="A648" s="8" t="s">
        <v>1015</v>
      </c>
      <c r="B648" s="8" t="s">
        <v>223</v>
      </c>
      <c r="C648" s="8" t="s">
        <v>224</v>
      </c>
      <c r="D648" s="8" t="s">
        <v>225</v>
      </c>
      <c r="E648" s="8" t="s">
        <v>252</v>
      </c>
      <c r="F648" s="8" t="s">
        <v>138</v>
      </c>
      <c r="G648" s="8" t="s">
        <v>253</v>
      </c>
      <c r="H648" s="9" t="s">
        <v>18</v>
      </c>
      <c r="I648" s="10"/>
      <c r="J648" s="11" t="n">
        <f aca="false">INT((ROW()-2)/50)+1</f>
        <v>13</v>
      </c>
      <c r="K648" s="11" t="str">
        <f aca="false">IF(H648="","Pending",IF(OR(H648="0",H648="1",H648="2",H648="U"),"Complete","Invalid"))</f>
        <v>Complete</v>
      </c>
    </row>
    <row r="649" customFormat="false" ht="84" hidden="false" customHeight="true" outlineLevel="0" collapsed="false">
      <c r="A649" s="8" t="s">
        <v>1016</v>
      </c>
      <c r="B649" s="8" t="s">
        <v>20</v>
      </c>
      <c r="C649" s="8" t="s">
        <v>21</v>
      </c>
      <c r="D649" s="8" t="s">
        <v>22</v>
      </c>
      <c r="E649" s="8" t="s">
        <v>465</v>
      </c>
      <c r="F649" s="8" t="s">
        <v>31</v>
      </c>
      <c r="G649" s="8" t="s">
        <v>466</v>
      </c>
      <c r="H649" s="9" t="s">
        <v>18</v>
      </c>
      <c r="I649" s="10"/>
      <c r="J649" s="11" t="n">
        <f aca="false">INT((ROW()-2)/50)+1</f>
        <v>13</v>
      </c>
      <c r="K649" s="11" t="str">
        <f aca="false">IF(H649="","Pending",IF(OR(H649="0",H649="1",H649="2",H649="U"),"Complete","Invalid"))</f>
        <v>Complete</v>
      </c>
    </row>
    <row r="650" customFormat="false" ht="84" hidden="false" customHeight="true" outlineLevel="0" collapsed="false">
      <c r="A650" s="8" t="s">
        <v>1017</v>
      </c>
      <c r="B650" s="8" t="s">
        <v>41</v>
      </c>
      <c r="C650" s="8" t="s">
        <v>42</v>
      </c>
      <c r="D650" s="8" t="s">
        <v>43</v>
      </c>
      <c r="E650" s="8" t="s">
        <v>186</v>
      </c>
      <c r="F650" s="8" t="s">
        <v>73</v>
      </c>
      <c r="G650" s="8" t="s">
        <v>187</v>
      </c>
      <c r="H650" s="9" t="s">
        <v>18</v>
      </c>
      <c r="I650" s="10"/>
      <c r="J650" s="11" t="n">
        <f aca="false">INT((ROW()-2)/50)+1</f>
        <v>13</v>
      </c>
      <c r="K650" s="11" t="str">
        <f aca="false">IF(H650="","Pending",IF(OR(H650="0",H650="1",H650="2",H650="U"),"Complete","Invalid"))</f>
        <v>Complete</v>
      </c>
    </row>
    <row r="651" customFormat="false" ht="84" hidden="false" customHeight="true" outlineLevel="0" collapsed="false">
      <c r="A651" s="8" t="s">
        <v>1018</v>
      </c>
      <c r="B651" s="8" t="s">
        <v>299</v>
      </c>
      <c r="C651" s="8" t="s">
        <v>300</v>
      </c>
      <c r="D651" s="8" t="s">
        <v>301</v>
      </c>
      <c r="E651" s="8" t="s">
        <v>262</v>
      </c>
      <c r="F651" s="8" t="s">
        <v>263</v>
      </c>
      <c r="G651" s="8" t="s">
        <v>264</v>
      </c>
      <c r="H651" s="9" t="s">
        <v>132</v>
      </c>
      <c r="I651" s="10"/>
      <c r="J651" s="11" t="n">
        <f aca="false">INT((ROW()-2)/50)+1</f>
        <v>13</v>
      </c>
      <c r="K651" s="11" t="str">
        <f aca="false">IF(H651="","Pending",IF(OR(H651="0",H651="1",H651="2",H651="U"),"Complete","Invalid"))</f>
        <v>Complete</v>
      </c>
    </row>
    <row r="652" customFormat="false" ht="84" hidden="false" customHeight="true" outlineLevel="0" collapsed="false">
      <c r="A652" s="8" t="s">
        <v>1019</v>
      </c>
      <c r="B652" s="8" t="s">
        <v>129</v>
      </c>
      <c r="C652" s="8" t="s">
        <v>130</v>
      </c>
      <c r="D652" s="8" t="s">
        <v>131</v>
      </c>
      <c r="E652" s="8" t="s">
        <v>48</v>
      </c>
      <c r="F652" s="8" t="s">
        <v>24</v>
      </c>
      <c r="G652" s="8" t="s">
        <v>49</v>
      </c>
      <c r="H652" s="9" t="s">
        <v>18</v>
      </c>
      <c r="I652" s="10"/>
      <c r="J652" s="11" t="n">
        <f aca="false">INT((ROW()-2)/50)+1</f>
        <v>14</v>
      </c>
      <c r="K652" s="11" t="str">
        <f aca="false">IF(H652="","Pending",IF(OR(H652="0",H652="1",H652="2",H652="U"),"Complete","Invalid"))</f>
        <v>Complete</v>
      </c>
    </row>
    <row r="653" customFormat="false" ht="84" hidden="false" customHeight="true" outlineLevel="0" collapsed="false">
      <c r="A653" s="8" t="s">
        <v>1020</v>
      </c>
      <c r="B653" s="8" t="s">
        <v>312</v>
      </c>
      <c r="C653" s="8" t="s">
        <v>313</v>
      </c>
      <c r="D653" s="8" t="s">
        <v>314</v>
      </c>
      <c r="E653" s="8" t="s">
        <v>195</v>
      </c>
      <c r="F653" s="8" t="s">
        <v>95</v>
      </c>
      <c r="G653" s="8" t="s">
        <v>196</v>
      </c>
      <c r="H653" s="9" t="s">
        <v>18</v>
      </c>
      <c r="I653" s="10"/>
      <c r="J653" s="11" t="n">
        <f aca="false">INT((ROW()-2)/50)+1</f>
        <v>14</v>
      </c>
      <c r="K653" s="11" t="str">
        <f aca="false">IF(H653="","Pending",IF(OR(H653="0",H653="1",H653="2",H653="U"),"Complete","Invalid"))</f>
        <v>Complete</v>
      </c>
    </row>
    <row r="654" customFormat="false" ht="84" hidden="false" customHeight="true" outlineLevel="0" collapsed="false">
      <c r="A654" s="8" t="s">
        <v>1021</v>
      </c>
      <c r="B654" s="8" t="s">
        <v>299</v>
      </c>
      <c r="C654" s="8" t="s">
        <v>300</v>
      </c>
      <c r="D654" s="8" t="s">
        <v>301</v>
      </c>
      <c r="E654" s="8" t="s">
        <v>327</v>
      </c>
      <c r="F654" s="8" t="s">
        <v>31</v>
      </c>
      <c r="G654" s="8" t="s">
        <v>328</v>
      </c>
      <c r="H654" s="9" t="s">
        <v>18</v>
      </c>
      <c r="I654" s="10"/>
      <c r="J654" s="11" t="n">
        <f aca="false">INT((ROW()-2)/50)+1</f>
        <v>14</v>
      </c>
      <c r="K654" s="11" t="str">
        <f aca="false">IF(H654="","Pending",IF(OR(H654="0",H654="1",H654="2",H654="U"),"Complete","Invalid"))</f>
        <v>Complete</v>
      </c>
    </row>
    <row r="655" customFormat="false" ht="84" hidden="false" customHeight="true" outlineLevel="0" collapsed="false">
      <c r="A655" s="8" t="s">
        <v>1022</v>
      </c>
      <c r="B655" s="8" t="s">
        <v>223</v>
      </c>
      <c r="C655" s="8" t="s">
        <v>224</v>
      </c>
      <c r="D655" s="8" t="s">
        <v>225</v>
      </c>
      <c r="E655" s="8" t="s">
        <v>164</v>
      </c>
      <c r="F655" s="8" t="s">
        <v>73</v>
      </c>
      <c r="G655" s="8" t="s">
        <v>165</v>
      </c>
      <c r="H655" s="9" t="s">
        <v>18</v>
      </c>
      <c r="I655" s="10"/>
      <c r="J655" s="11" t="n">
        <f aca="false">INT((ROW()-2)/50)+1</f>
        <v>14</v>
      </c>
      <c r="K655" s="11" t="str">
        <f aca="false">IF(H655="","Pending",IF(OR(H655="0",H655="1",H655="2",H655="U"),"Complete","Invalid"))</f>
        <v>Complete</v>
      </c>
    </row>
    <row r="656" customFormat="false" ht="84" hidden="false" customHeight="true" outlineLevel="0" collapsed="false">
      <c r="A656" s="8" t="s">
        <v>1023</v>
      </c>
      <c r="B656" s="8" t="s">
        <v>209</v>
      </c>
      <c r="C656" s="8" t="s">
        <v>210</v>
      </c>
      <c r="D656" s="8" t="s">
        <v>211</v>
      </c>
      <c r="E656" s="8" t="s">
        <v>108</v>
      </c>
      <c r="F656" s="8" t="s">
        <v>109</v>
      </c>
      <c r="G656" s="8" t="s">
        <v>110</v>
      </c>
      <c r="H656" s="9" t="s">
        <v>132</v>
      </c>
      <c r="I656" s="10"/>
      <c r="J656" s="11" t="n">
        <f aca="false">INT((ROW()-2)/50)+1</f>
        <v>14</v>
      </c>
      <c r="K656" s="11" t="str">
        <f aca="false">IF(H656="","Pending",IF(OR(H656="0",H656="1",H656="2",H656="U"),"Complete","Invalid"))</f>
        <v>Complete</v>
      </c>
    </row>
    <row r="657" customFormat="false" ht="84" hidden="false" customHeight="true" outlineLevel="0" collapsed="false">
      <c r="A657" s="8" t="s">
        <v>1024</v>
      </c>
      <c r="B657" s="8" t="s">
        <v>271</v>
      </c>
      <c r="C657" s="8" t="s">
        <v>272</v>
      </c>
      <c r="D657" s="8" t="s">
        <v>273</v>
      </c>
      <c r="E657" s="8" t="s">
        <v>445</v>
      </c>
      <c r="F657" s="8" t="s">
        <v>84</v>
      </c>
      <c r="G657" s="8" t="s">
        <v>446</v>
      </c>
      <c r="H657" s="9" t="s">
        <v>18</v>
      </c>
      <c r="I657" s="10"/>
      <c r="J657" s="11" t="n">
        <f aca="false">INT((ROW()-2)/50)+1</f>
        <v>14</v>
      </c>
      <c r="K657" s="11" t="str">
        <f aca="false">IF(H657="","Pending",IF(OR(H657="0",H657="1",H657="2",H657="U"),"Complete","Invalid"))</f>
        <v>Complete</v>
      </c>
    </row>
    <row r="658" customFormat="false" ht="84" hidden="false" customHeight="true" outlineLevel="0" collapsed="false">
      <c r="A658" s="8" t="s">
        <v>1025</v>
      </c>
      <c r="B658" s="8" t="s">
        <v>69</v>
      </c>
      <c r="C658" s="8" t="s">
        <v>70</v>
      </c>
      <c r="D658" s="8" t="s">
        <v>71</v>
      </c>
      <c r="E658" s="8" t="s">
        <v>278</v>
      </c>
      <c r="F658" s="8" t="s">
        <v>31</v>
      </c>
      <c r="G658" s="8" t="s">
        <v>279</v>
      </c>
      <c r="H658" s="9" t="s">
        <v>18</v>
      </c>
      <c r="I658" s="10"/>
      <c r="J658" s="11" t="n">
        <f aca="false">INT((ROW()-2)/50)+1</f>
        <v>14</v>
      </c>
      <c r="K658" s="11" t="str">
        <f aca="false">IF(H658="","Pending",IF(OR(H658="0",H658="1",H658="2",H658="U"),"Complete","Invalid"))</f>
        <v>Complete</v>
      </c>
    </row>
    <row r="659" customFormat="false" ht="84" hidden="false" customHeight="true" outlineLevel="0" collapsed="false">
      <c r="A659" s="8" t="s">
        <v>1026</v>
      </c>
      <c r="B659" s="8" t="s">
        <v>58</v>
      </c>
      <c r="C659" s="8" t="s">
        <v>59</v>
      </c>
      <c r="D659" s="8" t="s">
        <v>60</v>
      </c>
      <c r="E659" s="8" t="s">
        <v>120</v>
      </c>
      <c r="F659" s="8" t="s">
        <v>31</v>
      </c>
      <c r="G659" s="8" t="s">
        <v>121</v>
      </c>
      <c r="H659" s="9" t="s">
        <v>18</v>
      </c>
      <c r="I659" s="10"/>
      <c r="J659" s="11" t="n">
        <f aca="false">INT((ROW()-2)/50)+1</f>
        <v>14</v>
      </c>
      <c r="K659" s="11" t="str">
        <f aca="false">IF(H659="","Pending",IF(OR(H659="0",H659="1",H659="2",H659="U"),"Complete","Invalid"))</f>
        <v>Complete</v>
      </c>
    </row>
    <row r="660" customFormat="false" ht="84" hidden="false" customHeight="true" outlineLevel="0" collapsed="false">
      <c r="A660" s="8" t="s">
        <v>1027</v>
      </c>
      <c r="B660" s="8" t="s">
        <v>27</v>
      </c>
      <c r="C660" s="8" t="s">
        <v>28</v>
      </c>
      <c r="D660" s="8" t="s">
        <v>29</v>
      </c>
      <c r="E660" s="8" t="s">
        <v>401</v>
      </c>
      <c r="F660" s="8" t="s">
        <v>31</v>
      </c>
      <c r="G660" s="8" t="s">
        <v>402</v>
      </c>
      <c r="H660" s="9" t="s">
        <v>18</v>
      </c>
      <c r="I660" s="10"/>
      <c r="J660" s="11" t="n">
        <f aca="false">INT((ROW()-2)/50)+1</f>
        <v>14</v>
      </c>
      <c r="K660" s="11" t="str">
        <f aca="false">IF(H660="","Pending",IF(OR(H660="0",H660="1",H660="2",H660="U"),"Complete","Invalid"))</f>
        <v>Complete</v>
      </c>
    </row>
    <row r="661" customFormat="false" ht="84" hidden="false" customHeight="true" outlineLevel="0" collapsed="false">
      <c r="A661" s="8" t="s">
        <v>1028</v>
      </c>
      <c r="B661" s="8" t="s">
        <v>45</v>
      </c>
      <c r="C661" s="8" t="s">
        <v>46</v>
      </c>
      <c r="D661" s="8" t="s">
        <v>47</v>
      </c>
      <c r="E661" s="8" t="s">
        <v>15</v>
      </c>
      <c r="F661" s="8" t="s">
        <v>16</v>
      </c>
      <c r="G661" s="8" t="s">
        <v>17</v>
      </c>
      <c r="H661" s="9" t="s">
        <v>132</v>
      </c>
      <c r="I661" s="10"/>
      <c r="J661" s="11" t="n">
        <f aca="false">INT((ROW()-2)/50)+1</f>
        <v>14</v>
      </c>
      <c r="K661" s="11" t="str">
        <f aca="false">IF(H661="","Pending",IF(OR(H661="0",H661="1",H661="2",H661="U"),"Complete","Invalid"))</f>
        <v>Complete</v>
      </c>
    </row>
    <row r="662" customFormat="false" ht="84" hidden="false" customHeight="true" outlineLevel="0" collapsed="false">
      <c r="A662" s="8" t="s">
        <v>1029</v>
      </c>
      <c r="B662" s="8" t="s">
        <v>219</v>
      </c>
      <c r="C662" s="8" t="s">
        <v>220</v>
      </c>
      <c r="D662" s="8" t="s">
        <v>221</v>
      </c>
      <c r="E662" s="8" t="s">
        <v>262</v>
      </c>
      <c r="F662" s="8" t="s">
        <v>263</v>
      </c>
      <c r="G662" s="8" t="s">
        <v>264</v>
      </c>
      <c r="H662" s="9" t="s">
        <v>18</v>
      </c>
      <c r="I662" s="10"/>
      <c r="J662" s="11" t="n">
        <f aca="false">INT((ROW()-2)/50)+1</f>
        <v>14</v>
      </c>
      <c r="K662" s="11" t="str">
        <f aca="false">IF(H662="","Pending",IF(OR(H662="0",H662="1",H662="2",H662="U"),"Complete","Invalid"))</f>
        <v>Complete</v>
      </c>
    </row>
    <row r="663" customFormat="false" ht="84" hidden="false" customHeight="true" outlineLevel="0" collapsed="false">
      <c r="A663" s="8" t="s">
        <v>1030</v>
      </c>
      <c r="B663" s="8" t="s">
        <v>27</v>
      </c>
      <c r="C663" s="8" t="s">
        <v>28</v>
      </c>
      <c r="D663" s="8" t="s">
        <v>29</v>
      </c>
      <c r="E663" s="8" t="s">
        <v>37</v>
      </c>
      <c r="F663" s="8" t="s">
        <v>38</v>
      </c>
      <c r="G663" s="8" t="s">
        <v>39</v>
      </c>
      <c r="H663" s="9" t="s">
        <v>18</v>
      </c>
      <c r="I663" s="10"/>
      <c r="J663" s="11" t="n">
        <f aca="false">INT((ROW()-2)/50)+1</f>
        <v>14</v>
      </c>
      <c r="K663" s="11" t="str">
        <f aca="false">IF(H663="","Pending",IF(OR(H663="0",H663="1",H663="2",H663="U"),"Complete","Invalid"))</f>
        <v>Complete</v>
      </c>
    </row>
    <row r="664" customFormat="false" ht="84" hidden="false" customHeight="true" outlineLevel="0" collapsed="false">
      <c r="A664" s="8" t="s">
        <v>1031</v>
      </c>
      <c r="B664" s="8" t="s">
        <v>80</v>
      </c>
      <c r="C664" s="8" t="s">
        <v>81</v>
      </c>
      <c r="D664" s="8" t="s">
        <v>82</v>
      </c>
      <c r="E664" s="8" t="s">
        <v>120</v>
      </c>
      <c r="F664" s="8" t="s">
        <v>31</v>
      </c>
      <c r="G664" s="8" t="s">
        <v>121</v>
      </c>
      <c r="H664" s="9" t="s">
        <v>18</v>
      </c>
      <c r="I664" s="10"/>
      <c r="J664" s="11" t="n">
        <f aca="false">INT((ROW()-2)/50)+1</f>
        <v>14</v>
      </c>
      <c r="K664" s="11" t="str">
        <f aca="false">IF(H664="","Pending",IF(OR(H664="0",H664="1",H664="2",H664="U"),"Complete","Invalid"))</f>
        <v>Complete</v>
      </c>
    </row>
    <row r="665" customFormat="false" ht="84" hidden="false" customHeight="true" outlineLevel="0" collapsed="false">
      <c r="A665" s="8" t="s">
        <v>1032</v>
      </c>
      <c r="B665" s="8" t="s">
        <v>51</v>
      </c>
      <c r="C665" s="8" t="s">
        <v>52</v>
      </c>
      <c r="D665" s="8" t="s">
        <v>53</v>
      </c>
      <c r="E665" s="8" t="s">
        <v>186</v>
      </c>
      <c r="F665" s="8" t="s">
        <v>73</v>
      </c>
      <c r="G665" s="8" t="s">
        <v>187</v>
      </c>
      <c r="H665" s="9" t="s">
        <v>18</v>
      </c>
      <c r="I665" s="10"/>
      <c r="J665" s="11" t="n">
        <f aca="false">INT((ROW()-2)/50)+1</f>
        <v>14</v>
      </c>
      <c r="K665" s="11" t="str">
        <f aca="false">IF(H665="","Pending",IF(OR(H665="0",H665="1",H665="2",H665="U"),"Complete","Invalid"))</f>
        <v>Complete</v>
      </c>
    </row>
    <row r="666" customFormat="false" ht="84" hidden="false" customHeight="true" outlineLevel="0" collapsed="false">
      <c r="A666" s="8" t="s">
        <v>1033</v>
      </c>
      <c r="B666" s="8" t="s">
        <v>171</v>
      </c>
      <c r="C666" s="8" t="s">
        <v>172</v>
      </c>
      <c r="D666" s="8" t="s">
        <v>173</v>
      </c>
      <c r="E666" s="8" t="s">
        <v>164</v>
      </c>
      <c r="F666" s="8" t="s">
        <v>73</v>
      </c>
      <c r="G666" s="8" t="s">
        <v>165</v>
      </c>
      <c r="H666" s="9" t="s">
        <v>18</v>
      </c>
      <c r="I666" s="10"/>
      <c r="J666" s="11" t="n">
        <f aca="false">INT((ROW()-2)/50)+1</f>
        <v>14</v>
      </c>
      <c r="K666" s="11" t="str">
        <f aca="false">IF(H666="","Pending",IF(OR(H666="0",H666="1",H666="2",H666="U"),"Complete","Invalid"))</f>
        <v>Complete</v>
      </c>
    </row>
    <row r="667" customFormat="false" ht="84" hidden="false" customHeight="true" outlineLevel="0" collapsed="false">
      <c r="A667" s="8" t="s">
        <v>1034</v>
      </c>
      <c r="B667" s="8" t="s">
        <v>148</v>
      </c>
      <c r="C667" s="8" t="s">
        <v>149</v>
      </c>
      <c r="D667" s="8" t="s">
        <v>150</v>
      </c>
      <c r="E667" s="8" t="s">
        <v>275</v>
      </c>
      <c r="F667" s="8" t="s">
        <v>142</v>
      </c>
      <c r="G667" s="8" t="s">
        <v>276</v>
      </c>
      <c r="H667" s="9" t="s">
        <v>18</v>
      </c>
      <c r="I667" s="10" t="s">
        <v>317</v>
      </c>
      <c r="J667" s="11" t="n">
        <f aca="false">INT((ROW()-2)/50)+1</f>
        <v>14</v>
      </c>
      <c r="K667" s="11" t="str">
        <f aca="false">IF(H667="","Pending",IF(OR(H667="0",H667="1",H667="2",H667="U"),"Complete","Invalid"))</f>
        <v>Complete</v>
      </c>
    </row>
    <row r="668" customFormat="false" ht="84" hidden="false" customHeight="true" outlineLevel="0" collapsed="false">
      <c r="A668" s="8" t="s">
        <v>1035</v>
      </c>
      <c r="B668" s="8" t="s">
        <v>123</v>
      </c>
      <c r="C668" s="8" t="s">
        <v>124</v>
      </c>
      <c r="D668" s="8" t="s">
        <v>125</v>
      </c>
      <c r="E668" s="8" t="s">
        <v>37</v>
      </c>
      <c r="F668" s="8" t="s">
        <v>38</v>
      </c>
      <c r="G668" s="8" t="s">
        <v>39</v>
      </c>
      <c r="H668" s="9" t="s">
        <v>18</v>
      </c>
      <c r="I668" s="10"/>
      <c r="J668" s="11" t="n">
        <f aca="false">INT((ROW()-2)/50)+1</f>
        <v>14</v>
      </c>
      <c r="K668" s="11" t="str">
        <f aca="false">IF(H668="","Pending",IF(OR(H668="0",H668="1",H668="2",H668="U"),"Complete","Invalid"))</f>
        <v>Complete</v>
      </c>
    </row>
    <row r="669" customFormat="false" ht="84" hidden="false" customHeight="true" outlineLevel="0" collapsed="false">
      <c r="A669" s="8" t="s">
        <v>1036</v>
      </c>
      <c r="B669" s="8" t="s">
        <v>134</v>
      </c>
      <c r="C669" s="8" t="s">
        <v>135</v>
      </c>
      <c r="D669" s="8" t="s">
        <v>136</v>
      </c>
      <c r="E669" s="8" t="s">
        <v>94</v>
      </c>
      <c r="F669" s="8" t="s">
        <v>95</v>
      </c>
      <c r="G669" s="8" t="s">
        <v>96</v>
      </c>
      <c r="H669" s="9" t="s">
        <v>114</v>
      </c>
      <c r="I669" s="10"/>
      <c r="J669" s="11" t="n">
        <f aca="false">INT((ROW()-2)/50)+1</f>
        <v>14</v>
      </c>
      <c r="K669" s="11" t="str">
        <f aca="false">IF(H669="","Pending",IF(OR(H669="0",H669="1",H669="2",H669="U"),"Complete","Invalid"))</f>
        <v>Complete</v>
      </c>
    </row>
    <row r="670" customFormat="false" ht="84" hidden="false" customHeight="true" outlineLevel="0" collapsed="false">
      <c r="A670" s="8" t="s">
        <v>1037</v>
      </c>
      <c r="B670" s="8" t="s">
        <v>341</v>
      </c>
      <c r="C670" s="8" t="s">
        <v>342</v>
      </c>
      <c r="D670" s="8" t="s">
        <v>343</v>
      </c>
      <c r="E670" s="8" t="s">
        <v>275</v>
      </c>
      <c r="F670" s="8" t="s">
        <v>142</v>
      </c>
      <c r="G670" s="8" t="s">
        <v>276</v>
      </c>
      <c r="H670" s="9" t="s">
        <v>18</v>
      </c>
      <c r="I670" s="10" t="s">
        <v>346</v>
      </c>
      <c r="J670" s="11" t="n">
        <f aca="false">INT((ROW()-2)/50)+1</f>
        <v>14</v>
      </c>
      <c r="K670" s="11" t="str">
        <f aca="false">IF(H670="","Pending",IF(OR(H670="0",H670="1",H670="2",H670="U"),"Complete","Invalid"))</f>
        <v>Complete</v>
      </c>
    </row>
    <row r="671" customFormat="false" ht="84" hidden="false" customHeight="true" outlineLevel="0" collapsed="false">
      <c r="A671" s="8" t="s">
        <v>1038</v>
      </c>
      <c r="B671" s="8" t="s">
        <v>76</v>
      </c>
      <c r="C671" s="8" t="s">
        <v>77</v>
      </c>
      <c r="D671" s="8" t="s">
        <v>78</v>
      </c>
      <c r="E671" s="8" t="s">
        <v>174</v>
      </c>
      <c r="F671" s="8" t="s">
        <v>16</v>
      </c>
      <c r="G671" s="8" t="s">
        <v>175</v>
      </c>
      <c r="H671" s="9" t="s">
        <v>18</v>
      </c>
      <c r="I671" s="10"/>
      <c r="J671" s="11" t="n">
        <f aca="false">INT((ROW()-2)/50)+1</f>
        <v>14</v>
      </c>
      <c r="K671" s="11" t="str">
        <f aca="false">IF(H671="","Pending",IF(OR(H671="0",H671="1",H671="2",H671="U"),"Complete","Invalid"))</f>
        <v>Complete</v>
      </c>
    </row>
    <row r="672" customFormat="false" ht="84" hidden="false" customHeight="true" outlineLevel="0" collapsed="false">
      <c r="A672" s="8" t="s">
        <v>1039</v>
      </c>
      <c r="B672" s="8" t="s">
        <v>98</v>
      </c>
      <c r="C672" s="8" t="s">
        <v>99</v>
      </c>
      <c r="D672" s="8" t="s">
        <v>100</v>
      </c>
      <c r="E672" s="8" t="s">
        <v>307</v>
      </c>
      <c r="F672" s="8" t="s">
        <v>31</v>
      </c>
      <c r="G672" s="8" t="s">
        <v>308</v>
      </c>
      <c r="H672" s="9" t="s">
        <v>18</v>
      </c>
      <c r="I672" s="10"/>
      <c r="J672" s="11" t="n">
        <f aca="false">INT((ROW()-2)/50)+1</f>
        <v>14</v>
      </c>
      <c r="K672" s="11" t="str">
        <f aca="false">IF(H672="","Pending",IF(OR(H672="0",H672="1",H672="2",H672="U"),"Complete","Invalid"))</f>
        <v>Complete</v>
      </c>
    </row>
    <row r="673" customFormat="false" ht="84" hidden="false" customHeight="true" outlineLevel="0" collapsed="false">
      <c r="A673" s="8" t="s">
        <v>1040</v>
      </c>
      <c r="B673" s="8" t="s">
        <v>167</v>
      </c>
      <c r="C673" s="8" t="s">
        <v>168</v>
      </c>
      <c r="D673" s="8" t="s">
        <v>169</v>
      </c>
      <c r="E673" s="8" t="s">
        <v>37</v>
      </c>
      <c r="F673" s="8" t="s">
        <v>38</v>
      </c>
      <c r="G673" s="8" t="s">
        <v>39</v>
      </c>
      <c r="H673" s="9" t="s">
        <v>18</v>
      </c>
      <c r="I673" s="10"/>
      <c r="J673" s="11" t="n">
        <f aca="false">INT((ROW()-2)/50)+1</f>
        <v>14</v>
      </c>
      <c r="K673" s="11" t="str">
        <f aca="false">IF(H673="","Pending",IF(OR(H673="0",H673="1",H673="2",H673="U"),"Complete","Invalid"))</f>
        <v>Complete</v>
      </c>
    </row>
    <row r="674" customFormat="false" ht="84" hidden="false" customHeight="true" outlineLevel="0" collapsed="false">
      <c r="A674" s="8" t="s">
        <v>1041</v>
      </c>
      <c r="B674" s="8" t="s">
        <v>69</v>
      </c>
      <c r="C674" s="8" t="s">
        <v>70</v>
      </c>
      <c r="D674" s="8" t="s">
        <v>71</v>
      </c>
      <c r="E674" s="8" t="s">
        <v>286</v>
      </c>
      <c r="F674" s="8" t="s">
        <v>216</v>
      </c>
      <c r="G674" s="8" t="s">
        <v>287</v>
      </c>
      <c r="H674" s="9" t="s">
        <v>114</v>
      </c>
      <c r="I674" s="10"/>
      <c r="J674" s="11" t="n">
        <f aca="false">INT((ROW()-2)/50)+1</f>
        <v>14</v>
      </c>
      <c r="K674" s="11" t="str">
        <f aca="false">IF(H674="","Pending",IF(OR(H674="0",H674="1",H674="2",H674="U"),"Complete","Invalid"))</f>
        <v>Complete</v>
      </c>
    </row>
    <row r="675" customFormat="false" ht="84" hidden="false" customHeight="true" outlineLevel="0" collapsed="false">
      <c r="A675" s="8" t="s">
        <v>1042</v>
      </c>
      <c r="B675" s="8" t="s">
        <v>223</v>
      </c>
      <c r="C675" s="8" t="s">
        <v>224</v>
      </c>
      <c r="D675" s="8" t="s">
        <v>225</v>
      </c>
      <c r="E675" s="8" t="s">
        <v>431</v>
      </c>
      <c r="F675" s="8" t="s">
        <v>24</v>
      </c>
      <c r="G675" s="8" t="s">
        <v>432</v>
      </c>
      <c r="H675" s="9" t="s">
        <v>18</v>
      </c>
      <c r="I675" s="10"/>
      <c r="J675" s="11" t="n">
        <f aca="false">INT((ROW()-2)/50)+1</f>
        <v>14</v>
      </c>
      <c r="K675" s="11" t="str">
        <f aca="false">IF(H675="","Pending",IF(OR(H675="0",H675="1",H675="2",H675="U"),"Complete","Invalid"))</f>
        <v>Complete</v>
      </c>
    </row>
    <row r="676" customFormat="false" ht="84" hidden="false" customHeight="true" outlineLevel="0" collapsed="false">
      <c r="A676" s="8" t="s">
        <v>1043</v>
      </c>
      <c r="B676" s="8" t="s">
        <v>209</v>
      </c>
      <c r="C676" s="8" t="s">
        <v>210</v>
      </c>
      <c r="D676" s="8" t="s">
        <v>211</v>
      </c>
      <c r="E676" s="8" t="s">
        <v>126</v>
      </c>
      <c r="F676" s="8" t="s">
        <v>73</v>
      </c>
      <c r="G676" s="8" t="s">
        <v>127</v>
      </c>
      <c r="H676" s="9" t="s">
        <v>18</v>
      </c>
      <c r="I676" s="10"/>
      <c r="J676" s="11" t="n">
        <f aca="false">INT((ROW()-2)/50)+1</f>
        <v>14</v>
      </c>
      <c r="K676" s="11" t="str">
        <f aca="false">IF(H676="","Pending",IF(OR(H676="0",H676="1",H676="2",H676="U"),"Complete","Invalid"))</f>
        <v>Complete</v>
      </c>
    </row>
    <row r="677" customFormat="false" ht="84" hidden="false" customHeight="true" outlineLevel="0" collapsed="false">
      <c r="A677" s="8" t="s">
        <v>1044</v>
      </c>
      <c r="B677" s="8" t="s">
        <v>259</v>
      </c>
      <c r="C677" s="8" t="s">
        <v>260</v>
      </c>
      <c r="D677" s="8" t="s">
        <v>261</v>
      </c>
      <c r="E677" s="8" t="s">
        <v>445</v>
      </c>
      <c r="F677" s="8" t="s">
        <v>84</v>
      </c>
      <c r="G677" s="8" t="s">
        <v>446</v>
      </c>
      <c r="H677" s="9" t="s">
        <v>132</v>
      </c>
      <c r="I677" s="10"/>
      <c r="J677" s="11" t="n">
        <f aca="false">INT((ROW()-2)/50)+1</f>
        <v>14</v>
      </c>
      <c r="K677" s="11" t="str">
        <f aca="false">IF(H677="","Pending",IF(OR(H677="0",H677="1",H677="2",H677="U"),"Complete","Invalid"))</f>
        <v>Complete</v>
      </c>
    </row>
    <row r="678" customFormat="false" ht="84" hidden="false" customHeight="true" outlineLevel="0" collapsed="false">
      <c r="A678" s="8" t="s">
        <v>1045</v>
      </c>
      <c r="B678" s="8" t="s">
        <v>12</v>
      </c>
      <c r="C678" s="8" t="s">
        <v>13</v>
      </c>
      <c r="D678" s="8" t="s">
        <v>14</v>
      </c>
      <c r="E678" s="8" t="s">
        <v>126</v>
      </c>
      <c r="F678" s="8" t="s">
        <v>73</v>
      </c>
      <c r="G678" s="8" t="s">
        <v>127</v>
      </c>
      <c r="H678" s="9" t="s">
        <v>18</v>
      </c>
      <c r="I678" s="10"/>
      <c r="J678" s="11" t="n">
        <f aca="false">INT((ROW()-2)/50)+1</f>
        <v>14</v>
      </c>
      <c r="K678" s="11" t="str">
        <f aca="false">IF(H678="","Pending",IF(OR(H678="0",H678="1",H678="2",H678="U"),"Complete","Invalid"))</f>
        <v>Complete</v>
      </c>
    </row>
    <row r="679" customFormat="false" ht="84" hidden="false" customHeight="true" outlineLevel="0" collapsed="false">
      <c r="A679" s="8" t="s">
        <v>1046</v>
      </c>
      <c r="B679" s="8" t="s">
        <v>248</v>
      </c>
      <c r="C679" s="8" t="s">
        <v>249</v>
      </c>
      <c r="D679" s="8" t="s">
        <v>250</v>
      </c>
      <c r="E679" s="8" t="s">
        <v>72</v>
      </c>
      <c r="F679" s="8" t="s">
        <v>73</v>
      </c>
      <c r="G679" s="8" t="s">
        <v>74</v>
      </c>
      <c r="H679" s="9" t="s">
        <v>18</v>
      </c>
      <c r="I679" s="10"/>
      <c r="J679" s="11" t="n">
        <f aca="false">INT((ROW()-2)/50)+1</f>
        <v>14</v>
      </c>
      <c r="K679" s="11" t="str">
        <f aca="false">IF(H679="","Pending",IF(OR(H679="0",H679="1",H679="2",H679="U"),"Complete","Invalid"))</f>
        <v>Complete</v>
      </c>
    </row>
    <row r="680" customFormat="false" ht="84" hidden="false" customHeight="true" outlineLevel="0" collapsed="false">
      <c r="A680" s="8" t="s">
        <v>1047</v>
      </c>
      <c r="B680" s="8" t="s">
        <v>299</v>
      </c>
      <c r="C680" s="8" t="s">
        <v>300</v>
      </c>
      <c r="D680" s="8" t="s">
        <v>301</v>
      </c>
      <c r="E680" s="8" t="s">
        <v>164</v>
      </c>
      <c r="F680" s="8" t="s">
        <v>73</v>
      </c>
      <c r="G680" s="8" t="s">
        <v>165</v>
      </c>
      <c r="H680" s="9" t="s">
        <v>18</v>
      </c>
      <c r="I680" s="10"/>
      <c r="J680" s="11" t="n">
        <f aca="false">INT((ROW()-2)/50)+1</f>
        <v>14</v>
      </c>
      <c r="K680" s="11" t="str">
        <f aca="false">IF(H680="","Pending",IF(OR(H680="0",H680="1",H680="2",H680="U"),"Complete","Invalid"))</f>
        <v>Complete</v>
      </c>
    </row>
    <row r="681" customFormat="false" ht="84" hidden="false" customHeight="true" outlineLevel="0" collapsed="false">
      <c r="A681" s="8" t="s">
        <v>1048</v>
      </c>
      <c r="B681" s="8" t="s">
        <v>123</v>
      </c>
      <c r="C681" s="8" t="s">
        <v>124</v>
      </c>
      <c r="D681" s="8" t="s">
        <v>125</v>
      </c>
      <c r="E681" s="8" t="s">
        <v>307</v>
      </c>
      <c r="F681" s="8" t="s">
        <v>31</v>
      </c>
      <c r="G681" s="8" t="s">
        <v>308</v>
      </c>
      <c r="H681" s="9" t="s">
        <v>18</v>
      </c>
      <c r="I681" s="10"/>
      <c r="J681" s="11" t="n">
        <f aca="false">INT((ROW()-2)/50)+1</f>
        <v>14</v>
      </c>
      <c r="K681" s="11" t="str">
        <f aca="false">IF(H681="","Pending",IF(OR(H681="0",H681="1",H681="2",H681="U"),"Complete","Invalid"))</f>
        <v>Complete</v>
      </c>
    </row>
    <row r="682" customFormat="false" ht="84" hidden="false" customHeight="true" outlineLevel="0" collapsed="false">
      <c r="A682" s="8" t="s">
        <v>1049</v>
      </c>
      <c r="B682" s="8" t="s">
        <v>27</v>
      </c>
      <c r="C682" s="8" t="s">
        <v>28</v>
      </c>
      <c r="D682" s="8" t="s">
        <v>29</v>
      </c>
      <c r="E682" s="8" t="s">
        <v>319</v>
      </c>
      <c r="F682" s="8" t="s">
        <v>62</v>
      </c>
      <c r="G682" s="8" t="s">
        <v>320</v>
      </c>
      <c r="H682" s="9" t="s">
        <v>18</v>
      </c>
      <c r="I682" s="10"/>
      <c r="J682" s="11" t="n">
        <f aca="false">INT((ROW()-2)/50)+1</f>
        <v>14</v>
      </c>
      <c r="K682" s="11" t="str">
        <f aca="false">IF(H682="","Pending",IF(OR(H682="0",H682="1",H682="2",H682="U"),"Complete","Invalid"))</f>
        <v>Complete</v>
      </c>
    </row>
    <row r="683" customFormat="false" ht="84" hidden="false" customHeight="true" outlineLevel="0" collapsed="false">
      <c r="A683" s="8" t="s">
        <v>1050</v>
      </c>
      <c r="B683" s="8" t="s">
        <v>91</v>
      </c>
      <c r="C683" s="8" t="s">
        <v>92</v>
      </c>
      <c r="D683" s="8" t="s">
        <v>93</v>
      </c>
      <c r="E683" s="8" t="s">
        <v>454</v>
      </c>
      <c r="F683" s="8" t="s">
        <v>380</v>
      </c>
      <c r="G683" s="8" t="s">
        <v>455</v>
      </c>
      <c r="H683" s="9" t="s">
        <v>114</v>
      </c>
      <c r="I683" s="10"/>
      <c r="J683" s="11" t="n">
        <f aca="false">INT((ROW()-2)/50)+1</f>
        <v>14</v>
      </c>
      <c r="K683" s="11" t="str">
        <f aca="false">IF(H683="","Pending",IF(OR(H683="0",H683="1",H683="2",H683="U"),"Complete","Invalid"))</f>
        <v>Complete</v>
      </c>
    </row>
    <row r="684" customFormat="false" ht="84" hidden="false" customHeight="true" outlineLevel="0" collapsed="false">
      <c r="A684" s="8" t="s">
        <v>1051</v>
      </c>
      <c r="B684" s="8" t="s">
        <v>134</v>
      </c>
      <c r="C684" s="8" t="s">
        <v>135</v>
      </c>
      <c r="D684" s="8" t="s">
        <v>136</v>
      </c>
      <c r="E684" s="8" t="s">
        <v>179</v>
      </c>
      <c r="F684" s="8" t="s">
        <v>66</v>
      </c>
      <c r="G684" s="8" t="s">
        <v>180</v>
      </c>
      <c r="H684" s="9" t="s">
        <v>114</v>
      </c>
      <c r="I684" s="10"/>
      <c r="J684" s="11" t="n">
        <f aca="false">INT((ROW()-2)/50)+1</f>
        <v>14</v>
      </c>
      <c r="K684" s="11" t="str">
        <f aca="false">IF(H684="","Pending",IF(OR(H684="0",H684="1",H684="2",H684="U"),"Complete","Invalid"))</f>
        <v>Complete</v>
      </c>
    </row>
    <row r="685" customFormat="false" ht="84" hidden="false" customHeight="true" outlineLevel="0" collapsed="false">
      <c r="A685" s="8" t="s">
        <v>1052</v>
      </c>
      <c r="B685" s="8" t="s">
        <v>105</v>
      </c>
      <c r="C685" s="8" t="s">
        <v>106</v>
      </c>
      <c r="D685" s="8" t="s">
        <v>107</v>
      </c>
      <c r="E685" s="8" t="s">
        <v>375</v>
      </c>
      <c r="F685" s="8" t="s">
        <v>216</v>
      </c>
      <c r="G685" s="8" t="s">
        <v>376</v>
      </c>
      <c r="H685" s="9" t="s">
        <v>18</v>
      </c>
      <c r="I685" s="10"/>
      <c r="J685" s="11" t="n">
        <f aca="false">INT((ROW()-2)/50)+1</f>
        <v>14</v>
      </c>
      <c r="K685" s="11" t="str">
        <f aca="false">IF(H685="","Pending",IF(OR(H685="0",H685="1",H685="2",H685="U"),"Complete","Invalid"))</f>
        <v>Complete</v>
      </c>
    </row>
    <row r="686" customFormat="false" ht="84" hidden="false" customHeight="true" outlineLevel="0" collapsed="false">
      <c r="A686" s="8" t="s">
        <v>1053</v>
      </c>
      <c r="B686" s="8" t="s">
        <v>271</v>
      </c>
      <c r="C686" s="8" t="s">
        <v>272</v>
      </c>
      <c r="D686" s="8" t="s">
        <v>273</v>
      </c>
      <c r="E686" s="8" t="s">
        <v>158</v>
      </c>
      <c r="F686" s="8" t="s">
        <v>38</v>
      </c>
      <c r="G686" s="8" t="s">
        <v>159</v>
      </c>
      <c r="H686" s="9" t="s">
        <v>18</v>
      </c>
      <c r="I686" s="10"/>
      <c r="J686" s="11" t="n">
        <f aca="false">INT((ROW()-2)/50)+1</f>
        <v>14</v>
      </c>
      <c r="K686" s="11" t="str">
        <f aca="false">IF(H686="","Pending",IF(OR(H686="0",H686="1",H686="2",H686="U"),"Complete","Invalid"))</f>
        <v>Complete</v>
      </c>
    </row>
    <row r="687" customFormat="false" ht="84" hidden="false" customHeight="true" outlineLevel="0" collapsed="false">
      <c r="A687" s="8" t="s">
        <v>1054</v>
      </c>
      <c r="B687" s="8" t="s">
        <v>171</v>
      </c>
      <c r="C687" s="8" t="s">
        <v>172</v>
      </c>
      <c r="D687" s="8" t="s">
        <v>173</v>
      </c>
      <c r="E687" s="8" t="s">
        <v>112</v>
      </c>
      <c r="F687" s="8" t="s">
        <v>88</v>
      </c>
      <c r="G687" s="8" t="s">
        <v>113</v>
      </c>
      <c r="H687" s="9" t="s">
        <v>18</v>
      </c>
      <c r="I687" s="10"/>
      <c r="J687" s="11" t="n">
        <f aca="false">INT((ROW()-2)/50)+1</f>
        <v>14</v>
      </c>
      <c r="K687" s="11" t="str">
        <f aca="false">IF(H687="","Pending",IF(OR(H687="0",H687="1",H687="2",H687="U"),"Complete","Invalid"))</f>
        <v>Complete</v>
      </c>
    </row>
    <row r="688" customFormat="false" ht="84" hidden="false" customHeight="true" outlineLevel="0" collapsed="false">
      <c r="A688" s="8" t="s">
        <v>1055</v>
      </c>
      <c r="B688" s="8" t="s">
        <v>134</v>
      </c>
      <c r="C688" s="8" t="s">
        <v>135</v>
      </c>
      <c r="D688" s="8" t="s">
        <v>136</v>
      </c>
      <c r="E688" s="8" t="s">
        <v>102</v>
      </c>
      <c r="F688" s="8" t="s">
        <v>66</v>
      </c>
      <c r="G688" s="8" t="s">
        <v>103</v>
      </c>
      <c r="H688" s="9" t="s">
        <v>114</v>
      </c>
      <c r="I688" s="10"/>
      <c r="J688" s="11" t="n">
        <f aca="false">INT((ROW()-2)/50)+1</f>
        <v>14</v>
      </c>
      <c r="K688" s="11" t="str">
        <f aca="false">IF(H688="","Pending",IF(OR(H688="0",H688="1",H688="2",H688="U"),"Complete","Invalid"))</f>
        <v>Complete</v>
      </c>
    </row>
    <row r="689" customFormat="false" ht="84" hidden="false" customHeight="true" outlineLevel="0" collapsed="false">
      <c r="A689" s="8" t="s">
        <v>1056</v>
      </c>
      <c r="B689" s="8" t="s">
        <v>167</v>
      </c>
      <c r="C689" s="8" t="s">
        <v>168</v>
      </c>
      <c r="D689" s="8" t="s">
        <v>169</v>
      </c>
      <c r="E689" s="8" t="s">
        <v>475</v>
      </c>
      <c r="F689" s="8" t="s">
        <v>142</v>
      </c>
      <c r="G689" s="8" t="s">
        <v>476</v>
      </c>
      <c r="H689" s="9" t="s">
        <v>114</v>
      </c>
      <c r="I689" s="10" t="s">
        <v>1057</v>
      </c>
      <c r="J689" s="11" t="n">
        <f aca="false">INT((ROW()-2)/50)+1</f>
        <v>14</v>
      </c>
      <c r="K689" s="11" t="str">
        <f aca="false">IF(H689="","Pending",IF(OR(H689="0",H689="1",H689="2",H689="U"),"Complete","Invalid"))</f>
        <v>Complete</v>
      </c>
    </row>
    <row r="690" customFormat="false" ht="84" hidden="false" customHeight="true" outlineLevel="0" collapsed="false">
      <c r="A690" s="8" t="s">
        <v>1058</v>
      </c>
      <c r="B690" s="8" t="s">
        <v>271</v>
      </c>
      <c r="C690" s="8" t="s">
        <v>272</v>
      </c>
      <c r="D690" s="8" t="s">
        <v>273</v>
      </c>
      <c r="E690" s="8" t="s">
        <v>278</v>
      </c>
      <c r="F690" s="8" t="s">
        <v>31</v>
      </c>
      <c r="G690" s="8" t="s">
        <v>279</v>
      </c>
      <c r="H690" s="9" t="s">
        <v>18</v>
      </c>
      <c r="I690" s="10"/>
      <c r="J690" s="11" t="n">
        <f aca="false">INT((ROW()-2)/50)+1</f>
        <v>14</v>
      </c>
      <c r="K690" s="11" t="str">
        <f aca="false">IF(H690="","Pending",IF(OR(H690="0",H690="1",H690="2",H690="U"),"Complete","Invalid"))</f>
        <v>Complete</v>
      </c>
    </row>
    <row r="691" customFormat="false" ht="84" hidden="false" customHeight="true" outlineLevel="0" collapsed="false">
      <c r="A691" s="8" t="s">
        <v>1059</v>
      </c>
      <c r="B691" s="8" t="s">
        <v>134</v>
      </c>
      <c r="C691" s="8" t="s">
        <v>135</v>
      </c>
      <c r="D691" s="8" t="s">
        <v>136</v>
      </c>
      <c r="E691" s="8" t="s">
        <v>116</v>
      </c>
      <c r="F691" s="8" t="s">
        <v>117</v>
      </c>
      <c r="G691" s="8" t="s">
        <v>118</v>
      </c>
      <c r="H691" s="9" t="s">
        <v>18</v>
      </c>
      <c r="I691" s="10"/>
      <c r="J691" s="11" t="n">
        <f aca="false">INT((ROW()-2)/50)+1</f>
        <v>14</v>
      </c>
      <c r="K691" s="11" t="str">
        <f aca="false">IF(H691="","Pending",IF(OR(H691="0",H691="1",H691="2",H691="U"),"Complete","Invalid"))</f>
        <v>Complete</v>
      </c>
    </row>
    <row r="692" customFormat="false" ht="84" hidden="false" customHeight="true" outlineLevel="0" collapsed="false">
      <c r="A692" s="8" t="s">
        <v>1060</v>
      </c>
      <c r="B692" s="8" t="s">
        <v>76</v>
      </c>
      <c r="C692" s="8" t="s">
        <v>77</v>
      </c>
      <c r="D692" s="8" t="s">
        <v>78</v>
      </c>
      <c r="E692" s="8" t="s">
        <v>37</v>
      </c>
      <c r="F692" s="8" t="s">
        <v>38</v>
      </c>
      <c r="G692" s="8" t="s">
        <v>39</v>
      </c>
      <c r="H692" s="9" t="s">
        <v>18</v>
      </c>
      <c r="I692" s="10"/>
      <c r="J692" s="11" t="n">
        <f aca="false">INT((ROW()-2)/50)+1</f>
        <v>14</v>
      </c>
      <c r="K692" s="11" t="str">
        <f aca="false">IF(H692="","Pending",IF(OR(H692="0",H692="1",H692="2",H692="U"),"Complete","Invalid"))</f>
        <v>Complete</v>
      </c>
    </row>
    <row r="693" customFormat="false" ht="84" hidden="false" customHeight="true" outlineLevel="0" collapsed="false">
      <c r="A693" s="8" t="s">
        <v>1061</v>
      </c>
      <c r="B693" s="8" t="s">
        <v>155</v>
      </c>
      <c r="C693" s="8" t="s">
        <v>156</v>
      </c>
      <c r="D693" s="8" t="s">
        <v>157</v>
      </c>
      <c r="E693" s="8" t="s">
        <v>94</v>
      </c>
      <c r="F693" s="8" t="s">
        <v>95</v>
      </c>
      <c r="G693" s="8" t="s">
        <v>96</v>
      </c>
      <c r="H693" s="9" t="s">
        <v>18</v>
      </c>
      <c r="I693" s="10"/>
      <c r="J693" s="11" t="n">
        <f aca="false">INT((ROW()-2)/50)+1</f>
        <v>14</v>
      </c>
      <c r="K693" s="11" t="str">
        <f aca="false">IF(H693="","Pending",IF(OR(H693="0",H693="1",H693="2",H693="U"),"Complete","Invalid"))</f>
        <v>Complete</v>
      </c>
    </row>
    <row r="694" customFormat="false" ht="84" hidden="false" customHeight="true" outlineLevel="0" collapsed="false">
      <c r="A694" s="8" t="s">
        <v>1062</v>
      </c>
      <c r="B694" s="8" t="s">
        <v>223</v>
      </c>
      <c r="C694" s="8" t="s">
        <v>224</v>
      </c>
      <c r="D694" s="8" t="s">
        <v>225</v>
      </c>
      <c r="E694" s="8" t="s">
        <v>262</v>
      </c>
      <c r="F694" s="8" t="s">
        <v>263</v>
      </c>
      <c r="G694" s="8" t="s">
        <v>264</v>
      </c>
      <c r="H694" s="9" t="s">
        <v>132</v>
      </c>
      <c r="I694" s="10"/>
      <c r="J694" s="11" t="n">
        <f aca="false">INT((ROW()-2)/50)+1</f>
        <v>14</v>
      </c>
      <c r="K694" s="11" t="str">
        <f aca="false">IF(H694="","Pending",IF(OR(H694="0",H694="1",H694="2",H694="U"),"Complete","Invalid"))</f>
        <v>Complete</v>
      </c>
    </row>
    <row r="695" customFormat="false" ht="84" hidden="false" customHeight="true" outlineLevel="0" collapsed="false">
      <c r="A695" s="8" t="s">
        <v>1063</v>
      </c>
      <c r="B695" s="8" t="s">
        <v>259</v>
      </c>
      <c r="C695" s="8" t="s">
        <v>260</v>
      </c>
      <c r="D695" s="8" t="s">
        <v>261</v>
      </c>
      <c r="E695" s="8" t="s">
        <v>158</v>
      </c>
      <c r="F695" s="8" t="s">
        <v>38</v>
      </c>
      <c r="G695" s="8" t="s">
        <v>159</v>
      </c>
      <c r="H695" s="9" t="s">
        <v>18</v>
      </c>
      <c r="I695" s="10"/>
      <c r="J695" s="11" t="n">
        <f aca="false">INT((ROW()-2)/50)+1</f>
        <v>14</v>
      </c>
      <c r="K695" s="11" t="str">
        <f aca="false">IF(H695="","Pending",IF(OR(H695="0",H695="1",H695="2",H695="U"),"Complete","Invalid"))</f>
        <v>Complete</v>
      </c>
    </row>
    <row r="696" customFormat="false" ht="84" hidden="false" customHeight="true" outlineLevel="0" collapsed="false">
      <c r="A696" s="8" t="s">
        <v>1064</v>
      </c>
      <c r="B696" s="8" t="s">
        <v>98</v>
      </c>
      <c r="C696" s="8" t="s">
        <v>99</v>
      </c>
      <c r="D696" s="8" t="s">
        <v>100</v>
      </c>
      <c r="E696" s="8" t="s">
        <v>164</v>
      </c>
      <c r="F696" s="8" t="s">
        <v>73</v>
      </c>
      <c r="G696" s="8" t="s">
        <v>165</v>
      </c>
      <c r="H696" s="9" t="s">
        <v>18</v>
      </c>
      <c r="I696" s="10"/>
      <c r="J696" s="11" t="n">
        <f aca="false">INT((ROW()-2)/50)+1</f>
        <v>14</v>
      </c>
      <c r="K696" s="11" t="str">
        <f aca="false">IF(H696="","Pending",IF(OR(H696="0",H696="1",H696="2",H696="U"),"Complete","Invalid"))</f>
        <v>Complete</v>
      </c>
    </row>
    <row r="697" customFormat="false" ht="84" hidden="false" customHeight="true" outlineLevel="0" collapsed="false">
      <c r="A697" s="8" t="s">
        <v>1065</v>
      </c>
      <c r="B697" s="8" t="s">
        <v>198</v>
      </c>
      <c r="C697" s="8" t="s">
        <v>199</v>
      </c>
      <c r="D697" s="8" t="s">
        <v>200</v>
      </c>
      <c r="E697" s="8" t="s">
        <v>290</v>
      </c>
      <c r="F697" s="8" t="s">
        <v>55</v>
      </c>
      <c r="G697" s="8" t="s">
        <v>291</v>
      </c>
      <c r="H697" s="9" t="s">
        <v>18</v>
      </c>
      <c r="I697" s="10"/>
      <c r="J697" s="11" t="n">
        <f aca="false">INT((ROW()-2)/50)+1</f>
        <v>14</v>
      </c>
      <c r="K697" s="11" t="str">
        <f aca="false">IF(H697="","Pending",IF(OR(H697="0",H697="1",H697="2",H697="U"),"Complete","Invalid"))</f>
        <v>Complete</v>
      </c>
    </row>
    <row r="698" customFormat="false" ht="84" hidden="false" customHeight="true" outlineLevel="0" collapsed="false">
      <c r="A698" s="8" t="s">
        <v>1066</v>
      </c>
      <c r="B698" s="8" t="s">
        <v>271</v>
      </c>
      <c r="C698" s="8" t="s">
        <v>272</v>
      </c>
      <c r="D698" s="8" t="s">
        <v>273</v>
      </c>
      <c r="E698" s="8" t="s">
        <v>481</v>
      </c>
      <c r="F698" s="8" t="s">
        <v>31</v>
      </c>
      <c r="G698" s="8" t="s">
        <v>482</v>
      </c>
      <c r="H698" s="9" t="s">
        <v>18</v>
      </c>
      <c r="I698" s="10"/>
      <c r="J698" s="11" t="n">
        <f aca="false">INT((ROW()-2)/50)+1</f>
        <v>14</v>
      </c>
      <c r="K698" s="11" t="str">
        <f aca="false">IF(H698="","Pending",IF(OR(H698="0",H698="1",H698="2",H698="U"),"Complete","Invalid"))</f>
        <v>Complete</v>
      </c>
    </row>
    <row r="699" customFormat="false" ht="84" hidden="false" customHeight="true" outlineLevel="0" collapsed="false">
      <c r="A699" s="8" t="s">
        <v>1067</v>
      </c>
      <c r="B699" s="8" t="s">
        <v>91</v>
      </c>
      <c r="C699" s="8" t="s">
        <v>92</v>
      </c>
      <c r="D699" s="8" t="s">
        <v>93</v>
      </c>
      <c r="E699" s="8" t="s">
        <v>475</v>
      </c>
      <c r="F699" s="8" t="s">
        <v>142</v>
      </c>
      <c r="G699" s="8" t="s">
        <v>476</v>
      </c>
      <c r="H699" s="9" t="s">
        <v>114</v>
      </c>
      <c r="I699" s="10"/>
      <c r="J699" s="11" t="n">
        <f aca="false">INT((ROW()-2)/50)+1</f>
        <v>14</v>
      </c>
      <c r="K699" s="11" t="str">
        <f aca="false">IF(H699="","Pending",IF(OR(H699="0",H699="1",H699="2",H699="U"),"Complete","Invalid"))</f>
        <v>Complete</v>
      </c>
    </row>
    <row r="700" customFormat="false" ht="84" hidden="false" customHeight="true" outlineLevel="0" collapsed="false">
      <c r="A700" s="8" t="s">
        <v>1068</v>
      </c>
      <c r="B700" s="8" t="s">
        <v>69</v>
      </c>
      <c r="C700" s="8" t="s">
        <v>70</v>
      </c>
      <c r="D700" s="8" t="s">
        <v>71</v>
      </c>
      <c r="E700" s="8" t="s">
        <v>227</v>
      </c>
      <c r="F700" s="8" t="s">
        <v>216</v>
      </c>
      <c r="G700" s="8" t="s">
        <v>228</v>
      </c>
      <c r="H700" s="9" t="s">
        <v>114</v>
      </c>
      <c r="I700" s="10"/>
      <c r="J700" s="11" t="n">
        <f aca="false">INT((ROW()-2)/50)+1</f>
        <v>14</v>
      </c>
      <c r="K700" s="11" t="str">
        <f aca="false">IF(H700="","Pending",IF(OR(H700="0",H700="1",H700="2",H700="U"),"Complete","Invalid"))</f>
        <v>Complete</v>
      </c>
    </row>
    <row r="701" customFormat="false" ht="84" hidden="false" customHeight="true" outlineLevel="0" collapsed="false">
      <c r="A701" s="8" t="s">
        <v>1069</v>
      </c>
      <c r="B701" s="8" t="s">
        <v>299</v>
      </c>
      <c r="C701" s="8" t="s">
        <v>300</v>
      </c>
      <c r="D701" s="8" t="s">
        <v>301</v>
      </c>
      <c r="E701" s="8" t="s">
        <v>431</v>
      </c>
      <c r="F701" s="8" t="s">
        <v>24</v>
      </c>
      <c r="G701" s="8" t="s">
        <v>432</v>
      </c>
      <c r="H701" s="9" t="s">
        <v>18</v>
      </c>
      <c r="I701" s="10"/>
      <c r="J701" s="11" t="n">
        <f aca="false">INT((ROW()-2)/50)+1</f>
        <v>14</v>
      </c>
      <c r="K701" s="11" t="str">
        <f aca="false">IF(H701="","Pending",IF(OR(H701="0",H701="1",H701="2",H701="U"),"Complete","Invalid"))</f>
        <v>Complete</v>
      </c>
    </row>
    <row r="702" customFormat="false" ht="84" hidden="false" customHeight="true" outlineLevel="0" collapsed="false">
      <c r="A702" s="8" t="s">
        <v>1070</v>
      </c>
      <c r="B702" s="8" t="s">
        <v>209</v>
      </c>
      <c r="C702" s="8" t="s">
        <v>210</v>
      </c>
      <c r="D702" s="8" t="s">
        <v>211</v>
      </c>
      <c r="E702" s="8" t="s">
        <v>83</v>
      </c>
      <c r="F702" s="8" t="s">
        <v>84</v>
      </c>
      <c r="G702" s="8" t="s">
        <v>85</v>
      </c>
      <c r="H702" s="9" t="s">
        <v>18</v>
      </c>
      <c r="I702" s="10"/>
      <c r="J702" s="11" t="n">
        <f aca="false">INT((ROW()-2)/50)+1</f>
        <v>15</v>
      </c>
      <c r="K702" s="11" t="str">
        <f aca="false">IF(H702="","Pending",IF(OR(H702="0",H702="1",H702="2",H702="U"),"Complete","Invalid"))</f>
        <v>Complete</v>
      </c>
    </row>
    <row r="703" customFormat="false" ht="84" hidden="false" customHeight="true" outlineLevel="0" collapsed="false">
      <c r="A703" s="8" t="s">
        <v>1071</v>
      </c>
      <c r="B703" s="8" t="s">
        <v>232</v>
      </c>
      <c r="C703" s="8" t="s">
        <v>233</v>
      </c>
      <c r="D703" s="8" t="s">
        <v>234</v>
      </c>
      <c r="E703" s="8" t="s">
        <v>145</v>
      </c>
      <c r="F703" s="8" t="s">
        <v>95</v>
      </c>
      <c r="G703" s="8" t="s">
        <v>146</v>
      </c>
      <c r="H703" s="9" t="s">
        <v>18</v>
      </c>
      <c r="I703" s="10"/>
      <c r="J703" s="11" t="n">
        <f aca="false">INT((ROW()-2)/50)+1</f>
        <v>15</v>
      </c>
      <c r="K703" s="11" t="str">
        <f aca="false">IF(H703="","Pending",IF(OR(H703="0",H703="1",H703="2",H703="U"),"Complete","Invalid"))</f>
        <v>Complete</v>
      </c>
    </row>
    <row r="704" customFormat="false" ht="84" hidden="false" customHeight="true" outlineLevel="0" collapsed="false">
      <c r="A704" s="8" t="s">
        <v>1072</v>
      </c>
      <c r="B704" s="8" t="s">
        <v>219</v>
      </c>
      <c r="C704" s="8" t="s">
        <v>220</v>
      </c>
      <c r="D704" s="8" t="s">
        <v>221</v>
      </c>
      <c r="E704" s="8" t="s">
        <v>629</v>
      </c>
      <c r="F704" s="8" t="s">
        <v>31</v>
      </c>
      <c r="G704" s="8" t="s">
        <v>630</v>
      </c>
      <c r="H704" s="9" t="s">
        <v>18</v>
      </c>
      <c r="I704" s="10"/>
      <c r="J704" s="11" t="n">
        <f aca="false">INT((ROW()-2)/50)+1</f>
        <v>15</v>
      </c>
      <c r="K704" s="11" t="str">
        <f aca="false">IF(H704="","Pending",IF(OR(H704="0",H704="1",H704="2",H704="U"),"Complete","Invalid"))</f>
        <v>Complete</v>
      </c>
    </row>
    <row r="705" customFormat="false" ht="84" hidden="false" customHeight="true" outlineLevel="0" collapsed="false">
      <c r="A705" s="8" t="s">
        <v>1073</v>
      </c>
      <c r="B705" s="8" t="s">
        <v>34</v>
      </c>
      <c r="C705" s="8" t="s">
        <v>35</v>
      </c>
      <c r="D705" s="8" t="s">
        <v>36</v>
      </c>
      <c r="E705" s="8" t="s">
        <v>102</v>
      </c>
      <c r="F705" s="8" t="s">
        <v>66</v>
      </c>
      <c r="G705" s="8" t="s">
        <v>103</v>
      </c>
      <c r="H705" s="9" t="s">
        <v>18</v>
      </c>
      <c r="I705" s="10"/>
      <c r="J705" s="11" t="n">
        <f aca="false">INT((ROW()-2)/50)+1</f>
        <v>15</v>
      </c>
      <c r="K705" s="11" t="str">
        <f aca="false">IF(H705="","Pending",IF(OR(H705="0",H705="1",H705="2",H705="U"),"Complete","Invalid"))</f>
        <v>Complete</v>
      </c>
    </row>
    <row r="706" customFormat="false" ht="84" hidden="false" customHeight="true" outlineLevel="0" collapsed="false">
      <c r="A706" s="8" t="s">
        <v>1074</v>
      </c>
      <c r="B706" s="8" t="s">
        <v>27</v>
      </c>
      <c r="C706" s="8" t="s">
        <v>28</v>
      </c>
      <c r="D706" s="8" t="s">
        <v>29</v>
      </c>
      <c r="E706" s="8" t="s">
        <v>54</v>
      </c>
      <c r="F706" s="8" t="s">
        <v>55</v>
      </c>
      <c r="G706" s="8" t="s">
        <v>56</v>
      </c>
      <c r="H706" s="9" t="s">
        <v>18</v>
      </c>
      <c r="I706" s="10"/>
      <c r="J706" s="11" t="n">
        <f aca="false">INT((ROW()-2)/50)+1</f>
        <v>15</v>
      </c>
      <c r="K706" s="11" t="str">
        <f aca="false">IF(H706="","Pending",IF(OR(H706="0",H706="1",H706="2",H706="U"),"Complete","Invalid"))</f>
        <v>Complete</v>
      </c>
    </row>
    <row r="707" customFormat="false" ht="84" hidden="false" customHeight="true" outlineLevel="0" collapsed="false">
      <c r="A707" s="8" t="s">
        <v>1075</v>
      </c>
      <c r="B707" s="8" t="s">
        <v>105</v>
      </c>
      <c r="C707" s="8" t="s">
        <v>106</v>
      </c>
      <c r="D707" s="8" t="s">
        <v>107</v>
      </c>
      <c r="E707" s="8" t="s">
        <v>459</v>
      </c>
      <c r="F707" s="8" t="s">
        <v>460</v>
      </c>
      <c r="G707" s="8" t="s">
        <v>461</v>
      </c>
      <c r="H707" s="9" t="s">
        <v>18</v>
      </c>
      <c r="I707" s="10"/>
      <c r="J707" s="11" t="n">
        <f aca="false">INT((ROW()-2)/50)+1</f>
        <v>15</v>
      </c>
      <c r="K707" s="11" t="str">
        <f aca="false">IF(H707="","Pending",IF(OR(H707="0",H707="1",H707="2",H707="U"),"Complete","Invalid"))</f>
        <v>Complete</v>
      </c>
    </row>
    <row r="708" customFormat="false" ht="84" hidden="false" customHeight="true" outlineLevel="0" collapsed="false">
      <c r="A708" s="8" t="s">
        <v>1076</v>
      </c>
      <c r="B708" s="8" t="s">
        <v>219</v>
      </c>
      <c r="C708" s="8" t="s">
        <v>220</v>
      </c>
      <c r="D708" s="8" t="s">
        <v>221</v>
      </c>
      <c r="E708" s="8" t="s">
        <v>319</v>
      </c>
      <c r="F708" s="8" t="s">
        <v>62</v>
      </c>
      <c r="G708" s="8" t="s">
        <v>320</v>
      </c>
      <c r="H708" s="9" t="s">
        <v>132</v>
      </c>
      <c r="I708" s="10"/>
      <c r="J708" s="11" t="n">
        <f aca="false">INT((ROW()-2)/50)+1</f>
        <v>15</v>
      </c>
      <c r="K708" s="11" t="str">
        <f aca="false">IF(H708="","Pending",IF(OR(H708="0",H708="1",H708="2",H708="U"),"Complete","Invalid"))</f>
        <v>Complete</v>
      </c>
    </row>
    <row r="709" customFormat="false" ht="84" hidden="false" customHeight="true" outlineLevel="0" collapsed="false">
      <c r="A709" s="8" t="s">
        <v>1077</v>
      </c>
      <c r="B709" s="8" t="s">
        <v>27</v>
      </c>
      <c r="C709" s="8" t="s">
        <v>28</v>
      </c>
      <c r="D709" s="8" t="s">
        <v>29</v>
      </c>
      <c r="E709" s="8" t="s">
        <v>1078</v>
      </c>
      <c r="F709" s="8" t="s">
        <v>38</v>
      </c>
      <c r="G709" s="8" t="s">
        <v>1079</v>
      </c>
      <c r="H709" s="9" t="s">
        <v>18</v>
      </c>
      <c r="I709" s="10"/>
      <c r="J709" s="11" t="n">
        <f aca="false">INT((ROW()-2)/50)+1</f>
        <v>15</v>
      </c>
      <c r="K709" s="11" t="str">
        <f aca="false">IF(H709="","Pending",IF(OR(H709="0",H709="1",H709="2",H709="U"),"Complete","Invalid"))</f>
        <v>Complete</v>
      </c>
    </row>
    <row r="710" customFormat="false" ht="84" hidden="false" customHeight="true" outlineLevel="0" collapsed="false">
      <c r="A710" s="8" t="s">
        <v>1080</v>
      </c>
      <c r="B710" s="8" t="s">
        <v>248</v>
      </c>
      <c r="C710" s="8" t="s">
        <v>249</v>
      </c>
      <c r="D710" s="8" t="s">
        <v>250</v>
      </c>
      <c r="E710" s="8" t="s">
        <v>54</v>
      </c>
      <c r="F710" s="8" t="s">
        <v>55</v>
      </c>
      <c r="G710" s="8" t="s">
        <v>56</v>
      </c>
      <c r="H710" s="9" t="s">
        <v>132</v>
      </c>
      <c r="I710" s="10"/>
      <c r="J710" s="11" t="n">
        <f aca="false">INT((ROW()-2)/50)+1</f>
        <v>15</v>
      </c>
      <c r="K710" s="11" t="str">
        <f aca="false">IF(H710="","Pending",IF(OR(H710="0",H710="1",H710="2",H710="U"),"Complete","Invalid"))</f>
        <v>Complete</v>
      </c>
    </row>
    <row r="711" customFormat="false" ht="84" hidden="false" customHeight="true" outlineLevel="0" collapsed="false">
      <c r="A711" s="8" t="s">
        <v>1081</v>
      </c>
      <c r="B711" s="8" t="s">
        <v>189</v>
      </c>
      <c r="C711" s="8" t="s">
        <v>190</v>
      </c>
      <c r="D711" s="8" t="s">
        <v>191</v>
      </c>
      <c r="E711" s="8" t="s">
        <v>771</v>
      </c>
      <c r="F711" s="8" t="s">
        <v>216</v>
      </c>
      <c r="G711" s="8" t="s">
        <v>772</v>
      </c>
      <c r="H711" s="9" t="s">
        <v>18</v>
      </c>
      <c r="I711" s="10"/>
      <c r="J711" s="11" t="n">
        <f aca="false">INT((ROW()-2)/50)+1</f>
        <v>15</v>
      </c>
      <c r="K711" s="11" t="str">
        <f aca="false">IF(H711="","Pending",IF(OR(H711="0",H711="1",H711="2",H711="U"),"Complete","Invalid"))</f>
        <v>Complete</v>
      </c>
    </row>
    <row r="712" customFormat="false" ht="84" hidden="false" customHeight="true" outlineLevel="0" collapsed="false">
      <c r="A712" s="8" t="s">
        <v>1082</v>
      </c>
      <c r="B712" s="8" t="s">
        <v>134</v>
      </c>
      <c r="C712" s="8" t="s">
        <v>135</v>
      </c>
      <c r="D712" s="8" t="s">
        <v>136</v>
      </c>
      <c r="E712" s="8" t="s">
        <v>404</v>
      </c>
      <c r="F712" s="8" t="s">
        <v>66</v>
      </c>
      <c r="G712" s="8" t="s">
        <v>405</v>
      </c>
      <c r="H712" s="9" t="s">
        <v>132</v>
      </c>
      <c r="I712" s="10"/>
      <c r="J712" s="11" t="n">
        <f aca="false">INT((ROW()-2)/50)+1</f>
        <v>15</v>
      </c>
      <c r="K712" s="11" t="str">
        <f aca="false">IF(H712="","Pending",IF(OR(H712="0",H712="1",H712="2",H712="U"),"Complete","Invalid"))</f>
        <v>Complete</v>
      </c>
    </row>
    <row r="713" customFormat="false" ht="84" hidden="false" customHeight="true" outlineLevel="0" collapsed="false">
      <c r="A713" s="8" t="s">
        <v>1083</v>
      </c>
      <c r="B713" s="8" t="s">
        <v>76</v>
      </c>
      <c r="C713" s="8" t="s">
        <v>77</v>
      </c>
      <c r="D713" s="8" t="s">
        <v>78</v>
      </c>
      <c r="E713" s="8" t="s">
        <v>72</v>
      </c>
      <c r="F713" s="8" t="s">
        <v>73</v>
      </c>
      <c r="G713" s="8" t="s">
        <v>74</v>
      </c>
      <c r="H713" s="9" t="s">
        <v>18</v>
      </c>
      <c r="I713" s="10"/>
      <c r="J713" s="11" t="n">
        <f aca="false">INT((ROW()-2)/50)+1</f>
        <v>15</v>
      </c>
      <c r="K713" s="11" t="str">
        <f aca="false">IF(H713="","Pending",IF(OR(H713="0",H713="1",H713="2",H713="U"),"Complete","Invalid"))</f>
        <v>Complete</v>
      </c>
    </row>
    <row r="714" customFormat="false" ht="84" hidden="false" customHeight="true" outlineLevel="0" collapsed="false">
      <c r="A714" s="8" t="s">
        <v>1084</v>
      </c>
      <c r="B714" s="8" t="s">
        <v>76</v>
      </c>
      <c r="C714" s="8" t="s">
        <v>77</v>
      </c>
      <c r="D714" s="8" t="s">
        <v>78</v>
      </c>
      <c r="E714" s="8" t="s">
        <v>205</v>
      </c>
      <c r="F714" s="8" t="s">
        <v>38</v>
      </c>
      <c r="G714" s="8" t="s">
        <v>206</v>
      </c>
      <c r="H714" s="9" t="s">
        <v>18</v>
      </c>
      <c r="I714" s="10"/>
      <c r="J714" s="11" t="n">
        <f aca="false">INT((ROW()-2)/50)+1</f>
        <v>15</v>
      </c>
      <c r="K714" s="11" t="str">
        <f aca="false">IF(H714="","Pending",IF(OR(H714="0",H714="1",H714="2",H714="U"),"Complete","Invalid"))</f>
        <v>Complete</v>
      </c>
    </row>
    <row r="715" customFormat="false" ht="84" hidden="false" customHeight="true" outlineLevel="0" collapsed="false">
      <c r="A715" s="8" t="s">
        <v>1085</v>
      </c>
      <c r="B715" s="8" t="s">
        <v>76</v>
      </c>
      <c r="C715" s="8" t="s">
        <v>77</v>
      </c>
      <c r="D715" s="8" t="s">
        <v>78</v>
      </c>
      <c r="E715" s="8" t="s">
        <v>244</v>
      </c>
      <c r="F715" s="8" t="s">
        <v>245</v>
      </c>
      <c r="G715" s="8" t="s">
        <v>246</v>
      </c>
      <c r="H715" s="9" t="s">
        <v>18</v>
      </c>
      <c r="I715" s="10"/>
      <c r="J715" s="11" t="n">
        <f aca="false">INT((ROW()-2)/50)+1</f>
        <v>15</v>
      </c>
      <c r="K715" s="11" t="str">
        <f aca="false">IF(H715="","Pending",IF(OR(H715="0",H715="1",H715="2",H715="U"),"Complete","Invalid"))</f>
        <v>Complete</v>
      </c>
    </row>
    <row r="716" customFormat="false" ht="84" hidden="false" customHeight="true" outlineLevel="0" collapsed="false">
      <c r="A716" s="8" t="s">
        <v>1086</v>
      </c>
      <c r="B716" s="8" t="s">
        <v>299</v>
      </c>
      <c r="C716" s="8" t="s">
        <v>300</v>
      </c>
      <c r="D716" s="8" t="s">
        <v>301</v>
      </c>
      <c r="E716" s="8" t="s">
        <v>844</v>
      </c>
      <c r="F716" s="8" t="s">
        <v>263</v>
      </c>
      <c r="G716" s="8" t="s">
        <v>845</v>
      </c>
      <c r="H716" s="9" t="s">
        <v>132</v>
      </c>
      <c r="I716" s="10"/>
      <c r="J716" s="11" t="n">
        <f aca="false">INT((ROW()-2)/50)+1</f>
        <v>15</v>
      </c>
      <c r="K716" s="11" t="str">
        <f aca="false">IF(H716="","Pending",IF(OR(H716="0",H716="1",H716="2",H716="U"),"Complete","Invalid"))</f>
        <v>Complete</v>
      </c>
    </row>
    <row r="717" customFormat="false" ht="84" hidden="false" customHeight="true" outlineLevel="0" collapsed="false">
      <c r="A717" s="8" t="s">
        <v>1087</v>
      </c>
      <c r="B717" s="8" t="s">
        <v>41</v>
      </c>
      <c r="C717" s="8" t="s">
        <v>42</v>
      </c>
      <c r="D717" s="8" t="s">
        <v>43</v>
      </c>
      <c r="E717" s="8" t="s">
        <v>319</v>
      </c>
      <c r="F717" s="8" t="s">
        <v>62</v>
      </c>
      <c r="G717" s="8" t="s">
        <v>320</v>
      </c>
      <c r="H717" s="9" t="s">
        <v>18</v>
      </c>
      <c r="I717" s="10"/>
      <c r="J717" s="11" t="n">
        <f aca="false">INT((ROW()-2)/50)+1</f>
        <v>15</v>
      </c>
      <c r="K717" s="11" t="str">
        <f aca="false">IF(H717="","Pending",IF(OR(H717="0",H717="1",H717="2",H717="U"),"Complete","Invalid"))</f>
        <v>Complete</v>
      </c>
    </row>
    <row r="718" customFormat="false" ht="84" hidden="false" customHeight="true" outlineLevel="0" collapsed="false">
      <c r="A718" s="8" t="s">
        <v>1088</v>
      </c>
      <c r="B718" s="8" t="s">
        <v>129</v>
      </c>
      <c r="C718" s="8" t="s">
        <v>130</v>
      </c>
      <c r="D718" s="8" t="s">
        <v>131</v>
      </c>
      <c r="E718" s="8" t="s">
        <v>174</v>
      </c>
      <c r="F718" s="8" t="s">
        <v>16</v>
      </c>
      <c r="G718" s="8" t="s">
        <v>175</v>
      </c>
      <c r="H718" s="9" t="s">
        <v>132</v>
      </c>
      <c r="I718" s="10"/>
      <c r="J718" s="11" t="n">
        <f aca="false">INT((ROW()-2)/50)+1</f>
        <v>15</v>
      </c>
      <c r="K718" s="11" t="str">
        <f aca="false">IF(H718="","Pending",IF(OR(H718="0",H718="1",H718="2",H718="U"),"Complete","Invalid"))</f>
        <v>Complete</v>
      </c>
    </row>
    <row r="719" customFormat="false" ht="84" hidden="false" customHeight="true" outlineLevel="0" collapsed="false">
      <c r="A719" s="8" t="s">
        <v>1089</v>
      </c>
      <c r="B719" s="8" t="s">
        <v>105</v>
      </c>
      <c r="C719" s="8" t="s">
        <v>106</v>
      </c>
      <c r="D719" s="8" t="s">
        <v>107</v>
      </c>
      <c r="E719" s="8" t="s">
        <v>465</v>
      </c>
      <c r="F719" s="8" t="s">
        <v>31</v>
      </c>
      <c r="G719" s="8" t="s">
        <v>466</v>
      </c>
      <c r="H719" s="9" t="s">
        <v>18</v>
      </c>
      <c r="I719" s="10"/>
      <c r="J719" s="11" t="n">
        <f aca="false">INT((ROW()-2)/50)+1</f>
        <v>15</v>
      </c>
      <c r="K719" s="11" t="str">
        <f aca="false">IF(H719="","Pending",IF(OR(H719="0",H719="1",H719="2",H719="U"),"Complete","Invalid"))</f>
        <v>Complete</v>
      </c>
    </row>
    <row r="720" customFormat="false" ht="84" hidden="false" customHeight="true" outlineLevel="0" collapsed="false">
      <c r="A720" s="8" t="s">
        <v>1090</v>
      </c>
      <c r="B720" s="8" t="s">
        <v>259</v>
      </c>
      <c r="C720" s="8" t="s">
        <v>260</v>
      </c>
      <c r="D720" s="8" t="s">
        <v>261</v>
      </c>
      <c r="E720" s="8" t="s">
        <v>83</v>
      </c>
      <c r="F720" s="8" t="s">
        <v>84</v>
      </c>
      <c r="G720" s="8" t="s">
        <v>85</v>
      </c>
      <c r="H720" s="9" t="s">
        <v>132</v>
      </c>
      <c r="I720" s="10"/>
      <c r="J720" s="11" t="n">
        <f aca="false">INT((ROW()-2)/50)+1</f>
        <v>15</v>
      </c>
      <c r="K720" s="11" t="str">
        <f aca="false">IF(H720="","Pending",IF(OR(H720="0",H720="1",H720="2",H720="U"),"Complete","Invalid"))</f>
        <v>Complete</v>
      </c>
    </row>
    <row r="721" customFormat="false" ht="84" hidden="false" customHeight="true" outlineLevel="0" collapsed="false">
      <c r="A721" s="8" t="s">
        <v>1091</v>
      </c>
      <c r="B721" s="8" t="s">
        <v>223</v>
      </c>
      <c r="C721" s="8" t="s">
        <v>224</v>
      </c>
      <c r="D721" s="8" t="s">
        <v>225</v>
      </c>
      <c r="E721" s="8" t="s">
        <v>465</v>
      </c>
      <c r="F721" s="8" t="s">
        <v>31</v>
      </c>
      <c r="G721" s="8" t="s">
        <v>466</v>
      </c>
      <c r="H721" s="9" t="s">
        <v>18</v>
      </c>
      <c r="I721" s="10"/>
      <c r="J721" s="11" t="n">
        <f aca="false">INT((ROW()-2)/50)+1</f>
        <v>15</v>
      </c>
      <c r="K721" s="11" t="str">
        <f aca="false">IF(H721="","Pending",IF(OR(H721="0",H721="1",H721="2",H721="U"),"Complete","Invalid"))</f>
        <v>Complete</v>
      </c>
    </row>
    <row r="722" customFormat="false" ht="84" hidden="false" customHeight="true" outlineLevel="0" collapsed="false">
      <c r="A722" s="8" t="s">
        <v>1092</v>
      </c>
      <c r="B722" s="8" t="s">
        <v>51</v>
      </c>
      <c r="C722" s="8" t="s">
        <v>52</v>
      </c>
      <c r="D722" s="8" t="s">
        <v>53</v>
      </c>
      <c r="E722" s="8" t="s">
        <v>94</v>
      </c>
      <c r="F722" s="8" t="s">
        <v>95</v>
      </c>
      <c r="G722" s="8" t="s">
        <v>96</v>
      </c>
      <c r="H722" s="9" t="s">
        <v>18</v>
      </c>
      <c r="I722" s="10"/>
      <c r="J722" s="11" t="n">
        <f aca="false">INT((ROW()-2)/50)+1</f>
        <v>15</v>
      </c>
      <c r="K722" s="11" t="str">
        <f aca="false">IF(H722="","Pending",IF(OR(H722="0",H722="1",H722="2",H722="U"),"Complete","Invalid"))</f>
        <v>Complete</v>
      </c>
    </row>
    <row r="723" customFormat="false" ht="84" hidden="false" customHeight="true" outlineLevel="0" collapsed="false">
      <c r="A723" s="8" t="s">
        <v>1093</v>
      </c>
      <c r="B723" s="8" t="s">
        <v>69</v>
      </c>
      <c r="C723" s="8" t="s">
        <v>70</v>
      </c>
      <c r="D723" s="8" t="s">
        <v>71</v>
      </c>
      <c r="E723" s="8" t="s">
        <v>186</v>
      </c>
      <c r="F723" s="8" t="s">
        <v>73</v>
      </c>
      <c r="G723" s="8" t="s">
        <v>187</v>
      </c>
      <c r="H723" s="9" t="s">
        <v>18</v>
      </c>
      <c r="I723" s="10"/>
      <c r="J723" s="11" t="n">
        <f aca="false">INT((ROW()-2)/50)+1</f>
        <v>15</v>
      </c>
      <c r="K723" s="11" t="str">
        <f aca="false">IF(H723="","Pending",IF(OR(H723="0",H723="1",H723="2",H723="U"),"Complete","Invalid"))</f>
        <v>Complete</v>
      </c>
    </row>
    <row r="724" customFormat="false" ht="84" hidden="false" customHeight="true" outlineLevel="0" collapsed="false">
      <c r="A724" s="8" t="s">
        <v>1094</v>
      </c>
      <c r="B724" s="8" t="s">
        <v>98</v>
      </c>
      <c r="C724" s="8" t="s">
        <v>99</v>
      </c>
      <c r="D724" s="8" t="s">
        <v>100</v>
      </c>
      <c r="E724" s="8" t="s">
        <v>844</v>
      </c>
      <c r="F724" s="8" t="s">
        <v>263</v>
      </c>
      <c r="G724" s="8" t="s">
        <v>845</v>
      </c>
      <c r="H724" s="9" t="s">
        <v>132</v>
      </c>
      <c r="I724" s="10" t="s">
        <v>1095</v>
      </c>
      <c r="J724" s="11" t="n">
        <f aca="false">INT((ROW()-2)/50)+1</f>
        <v>15</v>
      </c>
      <c r="K724" s="11" t="str">
        <f aca="false">IF(H724="","Pending",IF(OR(H724="0",H724="1",H724="2",H724="U"),"Complete","Invalid"))</f>
        <v>Complete</v>
      </c>
    </row>
    <row r="725" customFormat="false" ht="84" hidden="false" customHeight="true" outlineLevel="0" collapsed="false">
      <c r="A725" s="8" t="s">
        <v>1096</v>
      </c>
      <c r="B725" s="8" t="s">
        <v>76</v>
      </c>
      <c r="C725" s="8" t="s">
        <v>77</v>
      </c>
      <c r="D725" s="8" t="s">
        <v>78</v>
      </c>
      <c r="E725" s="8" t="s">
        <v>286</v>
      </c>
      <c r="F725" s="8" t="s">
        <v>216</v>
      </c>
      <c r="G725" s="8" t="s">
        <v>287</v>
      </c>
      <c r="H725" s="9" t="s">
        <v>114</v>
      </c>
      <c r="I725" s="10"/>
      <c r="J725" s="11" t="n">
        <f aca="false">INT((ROW()-2)/50)+1</f>
        <v>15</v>
      </c>
      <c r="K725" s="11" t="str">
        <f aca="false">IF(H725="","Pending",IF(OR(H725="0",H725="1",H725="2",H725="U"),"Complete","Invalid"))</f>
        <v>Complete</v>
      </c>
    </row>
    <row r="726" customFormat="false" ht="84" hidden="false" customHeight="true" outlineLevel="0" collapsed="false">
      <c r="A726" s="8" t="s">
        <v>1097</v>
      </c>
      <c r="B726" s="8" t="s">
        <v>58</v>
      </c>
      <c r="C726" s="8" t="s">
        <v>59</v>
      </c>
      <c r="D726" s="8" t="s">
        <v>60</v>
      </c>
      <c r="E726" s="8" t="s">
        <v>286</v>
      </c>
      <c r="F726" s="8" t="s">
        <v>216</v>
      </c>
      <c r="G726" s="8" t="s">
        <v>287</v>
      </c>
      <c r="H726" s="9" t="s">
        <v>18</v>
      </c>
      <c r="I726" s="10"/>
      <c r="J726" s="11" t="n">
        <f aca="false">INT((ROW()-2)/50)+1</f>
        <v>15</v>
      </c>
      <c r="K726" s="11" t="str">
        <f aca="false">IF(H726="","Pending",IF(OR(H726="0",H726="1",H726="2",H726="U"),"Complete","Invalid"))</f>
        <v>Complete</v>
      </c>
    </row>
    <row r="727" customFormat="false" ht="84" hidden="false" customHeight="true" outlineLevel="0" collapsed="false">
      <c r="A727" s="8" t="s">
        <v>1098</v>
      </c>
      <c r="B727" s="8" t="s">
        <v>148</v>
      </c>
      <c r="C727" s="8" t="s">
        <v>149</v>
      </c>
      <c r="D727" s="8" t="s">
        <v>150</v>
      </c>
      <c r="E727" s="8" t="s">
        <v>690</v>
      </c>
      <c r="F727" s="8" t="s">
        <v>88</v>
      </c>
      <c r="G727" s="8" t="s">
        <v>691</v>
      </c>
      <c r="H727" s="9" t="s">
        <v>18</v>
      </c>
      <c r="I727" s="10" t="s">
        <v>153</v>
      </c>
      <c r="J727" s="11" t="n">
        <f aca="false">INT((ROW()-2)/50)+1</f>
        <v>15</v>
      </c>
      <c r="K727" s="11" t="str">
        <f aca="false">IF(H727="","Pending",IF(OR(H727="0",H727="1",H727="2",H727="U"),"Complete","Invalid"))</f>
        <v>Complete</v>
      </c>
    </row>
    <row r="728" customFormat="false" ht="84" hidden="false" customHeight="true" outlineLevel="0" collapsed="false">
      <c r="A728" s="8" t="s">
        <v>1099</v>
      </c>
      <c r="B728" s="8" t="s">
        <v>58</v>
      </c>
      <c r="C728" s="8" t="s">
        <v>59</v>
      </c>
      <c r="D728" s="8" t="s">
        <v>60</v>
      </c>
      <c r="E728" s="8" t="s">
        <v>54</v>
      </c>
      <c r="F728" s="8" t="s">
        <v>55</v>
      </c>
      <c r="G728" s="8" t="s">
        <v>56</v>
      </c>
      <c r="H728" s="9" t="s">
        <v>18</v>
      </c>
      <c r="I728" s="10"/>
      <c r="J728" s="11" t="n">
        <f aca="false">INT((ROW()-2)/50)+1</f>
        <v>15</v>
      </c>
      <c r="K728" s="11" t="str">
        <f aca="false">IF(H728="","Pending",IF(OR(H728="0",H728="1",H728="2",H728="U"),"Complete","Invalid"))</f>
        <v>Complete</v>
      </c>
    </row>
    <row r="729" customFormat="false" ht="84" hidden="false" customHeight="true" outlineLevel="0" collapsed="false">
      <c r="A729" s="8" t="s">
        <v>1100</v>
      </c>
      <c r="B729" s="8" t="s">
        <v>171</v>
      </c>
      <c r="C729" s="8" t="s">
        <v>172</v>
      </c>
      <c r="D729" s="8" t="s">
        <v>173</v>
      </c>
      <c r="E729" s="8" t="s">
        <v>353</v>
      </c>
      <c r="F729" s="8" t="s">
        <v>38</v>
      </c>
      <c r="G729" s="8" t="s">
        <v>354</v>
      </c>
      <c r="H729" s="9" t="s">
        <v>18</v>
      </c>
      <c r="I729" s="10"/>
      <c r="J729" s="11" t="n">
        <f aca="false">INT((ROW()-2)/50)+1</f>
        <v>15</v>
      </c>
      <c r="K729" s="11" t="str">
        <f aca="false">IF(H729="","Pending",IF(OR(H729="0",H729="1",H729="2",H729="U"),"Complete","Invalid"))</f>
        <v>Complete</v>
      </c>
    </row>
    <row r="730" customFormat="false" ht="84" hidden="false" customHeight="true" outlineLevel="0" collapsed="false">
      <c r="A730" s="8" t="s">
        <v>1101</v>
      </c>
      <c r="B730" s="8" t="s">
        <v>91</v>
      </c>
      <c r="C730" s="8" t="s">
        <v>92</v>
      </c>
      <c r="D730" s="8" t="s">
        <v>93</v>
      </c>
      <c r="E730" s="8" t="s">
        <v>529</v>
      </c>
      <c r="F730" s="8" t="s">
        <v>142</v>
      </c>
      <c r="G730" s="8" t="s">
        <v>530</v>
      </c>
      <c r="H730" s="9" t="s">
        <v>114</v>
      </c>
      <c r="I730" s="10"/>
      <c r="J730" s="11" t="n">
        <f aca="false">INT((ROW()-2)/50)+1</f>
        <v>15</v>
      </c>
      <c r="K730" s="11" t="str">
        <f aca="false">IF(H730="","Pending",IF(OR(H730="0",H730="1",H730="2",H730="U"),"Complete","Invalid"))</f>
        <v>Complete</v>
      </c>
    </row>
    <row r="731" customFormat="false" ht="84" hidden="false" customHeight="true" outlineLevel="0" collapsed="false">
      <c r="A731" s="8" t="s">
        <v>1102</v>
      </c>
      <c r="B731" s="8" t="s">
        <v>171</v>
      </c>
      <c r="C731" s="8" t="s">
        <v>172</v>
      </c>
      <c r="D731" s="8" t="s">
        <v>173</v>
      </c>
      <c r="E731" s="8" t="s">
        <v>622</v>
      </c>
      <c r="F731" s="8" t="s">
        <v>95</v>
      </c>
      <c r="G731" s="8" t="s">
        <v>623</v>
      </c>
      <c r="H731" s="9" t="s">
        <v>132</v>
      </c>
      <c r="I731" s="10"/>
      <c r="J731" s="11" t="n">
        <f aca="false">INT((ROW()-2)/50)+1</f>
        <v>15</v>
      </c>
      <c r="K731" s="11" t="str">
        <f aca="false">IF(H731="","Pending",IF(OR(H731="0",H731="1",H731="2",H731="U"),"Complete","Invalid"))</f>
        <v>Complete</v>
      </c>
    </row>
    <row r="732" customFormat="false" ht="84" hidden="false" customHeight="true" outlineLevel="0" collapsed="false">
      <c r="A732" s="8" t="s">
        <v>1103</v>
      </c>
      <c r="B732" s="8" t="s">
        <v>219</v>
      </c>
      <c r="C732" s="8" t="s">
        <v>220</v>
      </c>
      <c r="D732" s="8" t="s">
        <v>221</v>
      </c>
      <c r="E732" s="8" t="s">
        <v>336</v>
      </c>
      <c r="F732" s="8" t="s">
        <v>55</v>
      </c>
      <c r="G732" s="8" t="s">
        <v>337</v>
      </c>
      <c r="H732" s="9" t="s">
        <v>18</v>
      </c>
      <c r="I732" s="10"/>
      <c r="J732" s="11" t="n">
        <f aca="false">INT((ROW()-2)/50)+1</f>
        <v>15</v>
      </c>
      <c r="K732" s="11" t="str">
        <f aca="false">IF(H732="","Pending",IF(OR(H732="0",H732="1",H732="2",H732="U"),"Complete","Invalid"))</f>
        <v>Complete</v>
      </c>
    </row>
    <row r="733" customFormat="false" ht="84" hidden="false" customHeight="true" outlineLevel="0" collapsed="false">
      <c r="A733" s="8" t="s">
        <v>1104</v>
      </c>
      <c r="B733" s="8" t="s">
        <v>51</v>
      </c>
      <c r="C733" s="8" t="s">
        <v>52</v>
      </c>
      <c r="D733" s="8" t="s">
        <v>53</v>
      </c>
      <c r="E733" s="8" t="s">
        <v>126</v>
      </c>
      <c r="F733" s="8" t="s">
        <v>73</v>
      </c>
      <c r="G733" s="8" t="s">
        <v>127</v>
      </c>
      <c r="H733" s="9" t="s">
        <v>18</v>
      </c>
      <c r="I733" s="10"/>
      <c r="J733" s="11" t="n">
        <f aca="false">INT((ROW()-2)/50)+1</f>
        <v>15</v>
      </c>
      <c r="K733" s="11" t="str">
        <f aca="false">IF(H733="","Pending",IF(OR(H733="0",H733="1",H733="2",H733="U"),"Complete","Invalid"))</f>
        <v>Complete</v>
      </c>
    </row>
    <row r="734" customFormat="false" ht="84" hidden="false" customHeight="true" outlineLevel="0" collapsed="false">
      <c r="A734" s="8" t="s">
        <v>1105</v>
      </c>
      <c r="B734" s="8" t="s">
        <v>219</v>
      </c>
      <c r="C734" s="8" t="s">
        <v>220</v>
      </c>
      <c r="D734" s="8" t="s">
        <v>221</v>
      </c>
      <c r="E734" s="8" t="s">
        <v>244</v>
      </c>
      <c r="F734" s="8" t="s">
        <v>245</v>
      </c>
      <c r="G734" s="8" t="s">
        <v>246</v>
      </c>
      <c r="H734" s="9" t="s">
        <v>132</v>
      </c>
      <c r="I734" s="10"/>
      <c r="J734" s="11" t="n">
        <f aca="false">INT((ROW()-2)/50)+1</f>
        <v>15</v>
      </c>
      <c r="K734" s="11" t="str">
        <f aca="false">IF(H734="","Pending",IF(OR(H734="0",H734="1",H734="2",H734="U"),"Complete","Invalid"))</f>
        <v>Complete</v>
      </c>
    </row>
    <row r="735" customFormat="false" ht="84" hidden="false" customHeight="true" outlineLevel="0" collapsed="false">
      <c r="A735" s="8" t="s">
        <v>1106</v>
      </c>
      <c r="B735" s="8" t="s">
        <v>248</v>
      </c>
      <c r="C735" s="8" t="s">
        <v>249</v>
      </c>
      <c r="D735" s="8" t="s">
        <v>250</v>
      </c>
      <c r="E735" s="8" t="s">
        <v>227</v>
      </c>
      <c r="F735" s="8" t="s">
        <v>216</v>
      </c>
      <c r="G735" s="8" t="s">
        <v>228</v>
      </c>
      <c r="H735" s="9" t="s">
        <v>18</v>
      </c>
      <c r="I735" s="10"/>
      <c r="J735" s="11" t="n">
        <f aca="false">INT((ROW()-2)/50)+1</f>
        <v>15</v>
      </c>
      <c r="K735" s="11" t="str">
        <f aca="false">IF(H735="","Pending",IF(OR(H735="0",H735="1",H735="2",H735="U"),"Complete","Invalid"))</f>
        <v>Complete</v>
      </c>
    </row>
    <row r="736" customFormat="false" ht="84" hidden="false" customHeight="true" outlineLevel="0" collapsed="false">
      <c r="A736" s="8" t="s">
        <v>1107</v>
      </c>
      <c r="B736" s="8" t="s">
        <v>20</v>
      </c>
      <c r="C736" s="8" t="s">
        <v>21</v>
      </c>
      <c r="D736" s="8" t="s">
        <v>22</v>
      </c>
      <c r="E736" s="8" t="s">
        <v>459</v>
      </c>
      <c r="F736" s="8" t="s">
        <v>460</v>
      </c>
      <c r="G736" s="8" t="s">
        <v>461</v>
      </c>
      <c r="H736" s="9" t="s">
        <v>18</v>
      </c>
      <c r="I736" s="10"/>
      <c r="J736" s="11" t="n">
        <f aca="false">INT((ROW()-2)/50)+1</f>
        <v>15</v>
      </c>
      <c r="K736" s="11" t="str">
        <f aca="false">IF(H736="","Pending",IF(OR(H736="0",H736="1",H736="2",H736="U"),"Complete","Invalid"))</f>
        <v>Complete</v>
      </c>
    </row>
    <row r="737" customFormat="false" ht="84" hidden="false" customHeight="true" outlineLevel="0" collapsed="false">
      <c r="A737" s="8" t="s">
        <v>1108</v>
      </c>
      <c r="B737" s="8" t="s">
        <v>312</v>
      </c>
      <c r="C737" s="8" t="s">
        <v>313</v>
      </c>
      <c r="D737" s="8" t="s">
        <v>314</v>
      </c>
      <c r="E737" s="8" t="s">
        <v>372</v>
      </c>
      <c r="F737" s="8" t="s">
        <v>55</v>
      </c>
      <c r="G737" s="8" t="s">
        <v>373</v>
      </c>
      <c r="H737" s="9" t="s">
        <v>18</v>
      </c>
      <c r="I737" s="10"/>
      <c r="J737" s="11" t="n">
        <f aca="false">INT((ROW()-2)/50)+1</f>
        <v>15</v>
      </c>
      <c r="K737" s="11" t="str">
        <f aca="false">IF(H737="","Pending",IF(OR(H737="0",H737="1",H737="2",H737="U"),"Complete","Invalid"))</f>
        <v>Complete</v>
      </c>
    </row>
    <row r="738" customFormat="false" ht="84" hidden="false" customHeight="true" outlineLevel="0" collapsed="false">
      <c r="A738" s="8" t="s">
        <v>1109</v>
      </c>
      <c r="B738" s="8" t="s">
        <v>80</v>
      </c>
      <c r="C738" s="8" t="s">
        <v>81</v>
      </c>
      <c r="D738" s="8" t="s">
        <v>82</v>
      </c>
      <c r="E738" s="8" t="s">
        <v>536</v>
      </c>
      <c r="F738" s="8" t="s">
        <v>109</v>
      </c>
      <c r="G738" s="8" t="s">
        <v>537</v>
      </c>
      <c r="H738" s="9" t="s">
        <v>18</v>
      </c>
      <c r="I738" s="10"/>
      <c r="J738" s="11" t="n">
        <f aca="false">INT((ROW()-2)/50)+1</f>
        <v>15</v>
      </c>
      <c r="K738" s="11" t="str">
        <f aca="false">IF(H738="","Pending",IF(OR(H738="0",H738="1",H738="2",H738="U"),"Complete","Invalid"))</f>
        <v>Complete</v>
      </c>
    </row>
    <row r="739" customFormat="false" ht="84" hidden="false" customHeight="true" outlineLevel="0" collapsed="false">
      <c r="A739" s="8" t="s">
        <v>1110</v>
      </c>
      <c r="B739" s="8" t="s">
        <v>123</v>
      </c>
      <c r="C739" s="8" t="s">
        <v>124</v>
      </c>
      <c r="D739" s="8" t="s">
        <v>125</v>
      </c>
      <c r="E739" s="8" t="s">
        <v>844</v>
      </c>
      <c r="F739" s="8" t="s">
        <v>263</v>
      </c>
      <c r="G739" s="8" t="s">
        <v>845</v>
      </c>
      <c r="H739" s="9" t="s">
        <v>18</v>
      </c>
      <c r="I739" s="10"/>
      <c r="J739" s="11" t="n">
        <f aca="false">INT((ROW()-2)/50)+1</f>
        <v>15</v>
      </c>
      <c r="K739" s="11" t="str">
        <f aca="false">IF(H739="","Pending",IF(OR(H739="0",H739="1",H739="2",H739="U"),"Complete","Invalid"))</f>
        <v>Complete</v>
      </c>
    </row>
    <row r="740" customFormat="false" ht="84" hidden="false" customHeight="true" outlineLevel="0" collapsed="false">
      <c r="A740" s="8" t="s">
        <v>1111</v>
      </c>
      <c r="B740" s="8" t="s">
        <v>105</v>
      </c>
      <c r="C740" s="8" t="s">
        <v>106</v>
      </c>
      <c r="D740" s="8" t="s">
        <v>107</v>
      </c>
      <c r="E740" s="8" t="s">
        <v>262</v>
      </c>
      <c r="F740" s="8" t="s">
        <v>263</v>
      </c>
      <c r="G740" s="8" t="s">
        <v>264</v>
      </c>
      <c r="H740" s="9" t="s">
        <v>18</v>
      </c>
      <c r="I740" s="10"/>
      <c r="J740" s="11" t="n">
        <f aca="false">INT((ROW()-2)/50)+1</f>
        <v>15</v>
      </c>
      <c r="K740" s="11" t="str">
        <f aca="false">IF(H740="","Pending",IF(OR(H740="0",H740="1",H740="2",H740="U"),"Complete","Invalid"))</f>
        <v>Complete</v>
      </c>
    </row>
    <row r="741" customFormat="false" ht="84" hidden="false" customHeight="true" outlineLevel="0" collapsed="false">
      <c r="A741" s="8" t="s">
        <v>1112</v>
      </c>
      <c r="B741" s="8" t="s">
        <v>51</v>
      </c>
      <c r="C741" s="8" t="s">
        <v>52</v>
      </c>
      <c r="D741" s="8" t="s">
        <v>53</v>
      </c>
      <c r="E741" s="8" t="s">
        <v>108</v>
      </c>
      <c r="F741" s="8" t="s">
        <v>109</v>
      </c>
      <c r="G741" s="8" t="s">
        <v>110</v>
      </c>
      <c r="H741" s="9" t="s">
        <v>114</v>
      </c>
      <c r="I741" s="10"/>
      <c r="J741" s="11" t="n">
        <f aca="false">INT((ROW()-2)/50)+1</f>
        <v>15</v>
      </c>
      <c r="K741" s="11" t="str">
        <f aca="false">IF(H741="","Pending",IF(OR(H741="0",H741="1",H741="2",H741="U"),"Complete","Invalid"))</f>
        <v>Complete</v>
      </c>
    </row>
    <row r="742" customFormat="false" ht="84" hidden="false" customHeight="true" outlineLevel="0" collapsed="false">
      <c r="A742" s="8" t="s">
        <v>1113</v>
      </c>
      <c r="B742" s="8" t="s">
        <v>223</v>
      </c>
      <c r="C742" s="8" t="s">
        <v>224</v>
      </c>
      <c r="D742" s="8" t="s">
        <v>225</v>
      </c>
      <c r="E742" s="8" t="s">
        <v>332</v>
      </c>
      <c r="F742" s="8" t="s">
        <v>31</v>
      </c>
      <c r="G742" s="8" t="s">
        <v>333</v>
      </c>
      <c r="H742" s="9" t="s">
        <v>18</v>
      </c>
      <c r="I742" s="10"/>
      <c r="J742" s="11" t="n">
        <f aca="false">INT((ROW()-2)/50)+1</f>
        <v>15</v>
      </c>
      <c r="K742" s="11" t="str">
        <f aca="false">IF(H742="","Pending",IF(OR(H742="0",H742="1",H742="2",H742="U"),"Complete","Invalid"))</f>
        <v>Complete</v>
      </c>
    </row>
    <row r="743" customFormat="false" ht="84" hidden="false" customHeight="true" outlineLevel="0" collapsed="false">
      <c r="A743" s="8" t="s">
        <v>1114</v>
      </c>
      <c r="B743" s="8" t="s">
        <v>76</v>
      </c>
      <c r="C743" s="8" t="s">
        <v>77</v>
      </c>
      <c r="D743" s="8" t="s">
        <v>78</v>
      </c>
      <c r="E743" s="8" t="s">
        <v>15</v>
      </c>
      <c r="F743" s="8" t="s">
        <v>16</v>
      </c>
      <c r="G743" s="8" t="s">
        <v>17</v>
      </c>
      <c r="H743" s="9" t="s">
        <v>18</v>
      </c>
      <c r="I743" s="10"/>
      <c r="J743" s="11" t="n">
        <f aca="false">INT((ROW()-2)/50)+1</f>
        <v>15</v>
      </c>
      <c r="K743" s="11" t="str">
        <f aca="false">IF(H743="","Pending",IF(OR(H743="0",H743="1",H743="2",H743="U"),"Complete","Invalid"))</f>
        <v>Complete</v>
      </c>
    </row>
    <row r="744" customFormat="false" ht="84" hidden="false" customHeight="true" outlineLevel="0" collapsed="false">
      <c r="A744" s="8" t="s">
        <v>1115</v>
      </c>
      <c r="B744" s="8" t="s">
        <v>299</v>
      </c>
      <c r="C744" s="8" t="s">
        <v>300</v>
      </c>
      <c r="D744" s="8" t="s">
        <v>301</v>
      </c>
      <c r="E744" s="8" t="s">
        <v>282</v>
      </c>
      <c r="F744" s="8" t="s">
        <v>24</v>
      </c>
      <c r="G744" s="8" t="s">
        <v>283</v>
      </c>
      <c r="H744" s="9" t="s">
        <v>18</v>
      </c>
      <c r="I744" s="10"/>
      <c r="J744" s="11" t="n">
        <f aca="false">INT((ROW()-2)/50)+1</f>
        <v>15</v>
      </c>
      <c r="K744" s="11" t="str">
        <f aca="false">IF(H744="","Pending",IF(OR(H744="0",H744="1",H744="2",H744="U"),"Complete","Invalid"))</f>
        <v>Complete</v>
      </c>
    </row>
    <row r="745" customFormat="false" ht="84" hidden="false" customHeight="true" outlineLevel="0" collapsed="false">
      <c r="A745" s="8" t="s">
        <v>1116</v>
      </c>
      <c r="B745" s="8" t="s">
        <v>238</v>
      </c>
      <c r="C745" s="8" t="s">
        <v>239</v>
      </c>
      <c r="D745" s="8" t="s">
        <v>240</v>
      </c>
      <c r="E745" s="8" t="s">
        <v>37</v>
      </c>
      <c r="F745" s="8" t="s">
        <v>38</v>
      </c>
      <c r="G745" s="8" t="s">
        <v>39</v>
      </c>
      <c r="H745" s="9" t="s">
        <v>18</v>
      </c>
      <c r="I745" s="10"/>
      <c r="J745" s="11" t="n">
        <f aca="false">INT((ROW()-2)/50)+1</f>
        <v>15</v>
      </c>
      <c r="K745" s="11" t="str">
        <f aca="false">IF(H745="","Pending",IF(OR(H745="0",H745="1",H745="2",H745="U"),"Complete","Invalid"))</f>
        <v>Complete</v>
      </c>
    </row>
    <row r="746" customFormat="false" ht="84" hidden="false" customHeight="true" outlineLevel="0" collapsed="false">
      <c r="A746" s="8" t="s">
        <v>1117</v>
      </c>
      <c r="B746" s="8" t="s">
        <v>189</v>
      </c>
      <c r="C746" s="8" t="s">
        <v>190</v>
      </c>
      <c r="D746" s="8" t="s">
        <v>191</v>
      </c>
      <c r="E746" s="8" t="s">
        <v>164</v>
      </c>
      <c r="F746" s="8" t="s">
        <v>73</v>
      </c>
      <c r="G746" s="8" t="s">
        <v>165</v>
      </c>
      <c r="H746" s="9" t="s">
        <v>18</v>
      </c>
      <c r="I746" s="10"/>
      <c r="J746" s="11" t="n">
        <f aca="false">INT((ROW()-2)/50)+1</f>
        <v>15</v>
      </c>
      <c r="K746" s="11" t="str">
        <f aca="false">IF(H746="","Pending",IF(OR(H746="0",H746="1",H746="2",H746="U"),"Complete","Invalid"))</f>
        <v>Complete</v>
      </c>
    </row>
    <row r="747" customFormat="false" ht="84" hidden="false" customHeight="true" outlineLevel="0" collapsed="false">
      <c r="A747" s="8" t="s">
        <v>1118</v>
      </c>
      <c r="B747" s="8" t="s">
        <v>219</v>
      </c>
      <c r="C747" s="8" t="s">
        <v>220</v>
      </c>
      <c r="D747" s="8" t="s">
        <v>221</v>
      </c>
      <c r="E747" s="8" t="s">
        <v>72</v>
      </c>
      <c r="F747" s="8" t="s">
        <v>73</v>
      </c>
      <c r="G747" s="8" t="s">
        <v>74</v>
      </c>
      <c r="H747" s="9" t="s">
        <v>18</v>
      </c>
      <c r="I747" s="10"/>
      <c r="J747" s="11" t="n">
        <f aca="false">INT((ROW()-2)/50)+1</f>
        <v>15</v>
      </c>
      <c r="K747" s="11" t="str">
        <f aca="false">IF(H747="","Pending",IF(OR(H747="0",H747="1",H747="2",H747="U"),"Complete","Invalid"))</f>
        <v>Complete</v>
      </c>
    </row>
    <row r="748" customFormat="false" ht="84" hidden="false" customHeight="true" outlineLevel="0" collapsed="false">
      <c r="A748" s="8" t="s">
        <v>1119</v>
      </c>
      <c r="B748" s="8" t="s">
        <v>58</v>
      </c>
      <c r="C748" s="8" t="s">
        <v>59</v>
      </c>
      <c r="D748" s="8" t="s">
        <v>60</v>
      </c>
      <c r="E748" s="8" t="s">
        <v>465</v>
      </c>
      <c r="F748" s="8" t="s">
        <v>31</v>
      </c>
      <c r="G748" s="8" t="s">
        <v>466</v>
      </c>
      <c r="H748" s="9" t="s">
        <v>18</v>
      </c>
      <c r="I748" s="10"/>
      <c r="J748" s="11" t="n">
        <f aca="false">INT((ROW()-2)/50)+1</f>
        <v>15</v>
      </c>
      <c r="K748" s="11" t="str">
        <f aca="false">IF(H748="","Pending",IF(OR(H748="0",H748="1",H748="2",H748="U"),"Complete","Invalid"))</f>
        <v>Complete</v>
      </c>
    </row>
    <row r="749" customFormat="false" ht="84" hidden="false" customHeight="true" outlineLevel="0" collapsed="false">
      <c r="A749" s="8" t="s">
        <v>1120</v>
      </c>
      <c r="B749" s="8" t="s">
        <v>341</v>
      </c>
      <c r="C749" s="8" t="s">
        <v>342</v>
      </c>
      <c r="D749" s="8" t="s">
        <v>343</v>
      </c>
      <c r="E749" s="8" t="s">
        <v>539</v>
      </c>
      <c r="F749" s="8" t="s">
        <v>380</v>
      </c>
      <c r="G749" s="8" t="s">
        <v>540</v>
      </c>
      <c r="H749" s="9" t="s">
        <v>18</v>
      </c>
      <c r="I749" s="10" t="s">
        <v>346</v>
      </c>
      <c r="J749" s="11" t="n">
        <f aca="false">INT((ROW()-2)/50)+1</f>
        <v>15</v>
      </c>
      <c r="K749" s="11" t="str">
        <f aca="false">IF(H749="","Pending",IF(OR(H749="0",H749="1",H749="2",H749="U"),"Complete","Invalid"))</f>
        <v>Complete</v>
      </c>
    </row>
    <row r="750" customFormat="false" ht="84" hidden="false" customHeight="true" outlineLevel="0" collapsed="false">
      <c r="A750" s="8" t="s">
        <v>1121</v>
      </c>
      <c r="B750" s="8" t="s">
        <v>259</v>
      </c>
      <c r="C750" s="8" t="s">
        <v>260</v>
      </c>
      <c r="D750" s="8" t="s">
        <v>261</v>
      </c>
      <c r="E750" s="8" t="s">
        <v>72</v>
      </c>
      <c r="F750" s="8" t="s">
        <v>73</v>
      </c>
      <c r="G750" s="8" t="s">
        <v>74</v>
      </c>
      <c r="H750" s="9" t="s">
        <v>18</v>
      </c>
      <c r="I750" s="10"/>
      <c r="J750" s="11" t="n">
        <f aca="false">INT((ROW()-2)/50)+1</f>
        <v>15</v>
      </c>
      <c r="K750" s="11" t="str">
        <f aca="false">IF(H750="","Pending",IF(OR(H750="0",H750="1",H750="2",H750="U"),"Complete","Invalid"))</f>
        <v>Complete</v>
      </c>
    </row>
    <row r="751" customFormat="false" ht="84" hidden="false" customHeight="true" outlineLevel="0" collapsed="false">
      <c r="A751" s="8" t="s">
        <v>1122</v>
      </c>
      <c r="B751" s="8" t="s">
        <v>76</v>
      </c>
      <c r="C751" s="8" t="s">
        <v>77</v>
      </c>
      <c r="D751" s="8" t="s">
        <v>78</v>
      </c>
      <c r="E751" s="8" t="s">
        <v>54</v>
      </c>
      <c r="F751" s="8" t="s">
        <v>55</v>
      </c>
      <c r="G751" s="8" t="s">
        <v>56</v>
      </c>
      <c r="H751" s="9" t="s">
        <v>18</v>
      </c>
      <c r="I751" s="10"/>
      <c r="J751" s="11" t="n">
        <f aca="false">INT((ROW()-2)/50)+1</f>
        <v>15</v>
      </c>
      <c r="K751" s="11" t="str">
        <f aca="false">IF(H751="","Pending",IF(OR(H751="0",H751="1",H751="2",H751="U"),"Complete","Invalid"))</f>
        <v>Complete</v>
      </c>
    </row>
    <row r="752" customFormat="false" ht="84" hidden="false" customHeight="true" outlineLevel="0" collapsed="false">
      <c r="A752" s="8" t="s">
        <v>1123</v>
      </c>
      <c r="B752" s="8" t="s">
        <v>123</v>
      </c>
      <c r="C752" s="8" t="s">
        <v>124</v>
      </c>
      <c r="D752" s="8" t="s">
        <v>125</v>
      </c>
      <c r="E752" s="8" t="s">
        <v>356</v>
      </c>
      <c r="F752" s="8" t="s">
        <v>66</v>
      </c>
      <c r="G752" s="8" t="s">
        <v>357</v>
      </c>
      <c r="H752" s="9" t="s">
        <v>18</v>
      </c>
      <c r="I752" s="10"/>
      <c r="J752" s="11" t="n">
        <f aca="false">INT((ROW()-2)/50)+1</f>
        <v>16</v>
      </c>
      <c r="K752" s="11" t="str">
        <f aca="false">IF(H752="","Pending",IF(OR(H752="0",H752="1",H752="2",H752="U"),"Complete","Invalid"))</f>
        <v>Complete</v>
      </c>
    </row>
    <row r="753" customFormat="false" ht="84" hidden="false" customHeight="true" outlineLevel="0" collapsed="false">
      <c r="A753" s="8" t="s">
        <v>1124</v>
      </c>
      <c r="B753" s="8" t="s">
        <v>98</v>
      </c>
      <c r="C753" s="8" t="s">
        <v>99</v>
      </c>
      <c r="D753" s="8" t="s">
        <v>100</v>
      </c>
      <c r="E753" s="8" t="s">
        <v>192</v>
      </c>
      <c r="F753" s="8" t="s">
        <v>38</v>
      </c>
      <c r="G753" s="8" t="s">
        <v>193</v>
      </c>
      <c r="H753" s="9" t="s">
        <v>18</v>
      </c>
      <c r="I753" s="10"/>
      <c r="J753" s="11" t="n">
        <f aca="false">INT((ROW()-2)/50)+1</f>
        <v>16</v>
      </c>
      <c r="K753" s="11" t="str">
        <f aca="false">IF(H753="","Pending",IF(OR(H753="0",H753="1",H753="2",H753="U"),"Complete","Invalid"))</f>
        <v>Complete</v>
      </c>
    </row>
    <row r="754" customFormat="false" ht="84" hidden="false" customHeight="true" outlineLevel="0" collapsed="false">
      <c r="A754" s="8" t="s">
        <v>1125</v>
      </c>
      <c r="B754" s="8" t="s">
        <v>189</v>
      </c>
      <c r="C754" s="8" t="s">
        <v>190</v>
      </c>
      <c r="D754" s="8" t="s">
        <v>191</v>
      </c>
      <c r="E754" s="8" t="s">
        <v>436</v>
      </c>
      <c r="F754" s="8" t="s">
        <v>263</v>
      </c>
      <c r="G754" s="8" t="s">
        <v>437</v>
      </c>
      <c r="H754" s="9" t="s">
        <v>18</v>
      </c>
      <c r="I754" s="10"/>
      <c r="J754" s="11" t="n">
        <f aca="false">INT((ROW()-2)/50)+1</f>
        <v>16</v>
      </c>
      <c r="K754" s="11" t="str">
        <f aca="false">IF(H754="","Pending",IF(OR(H754="0",H754="1",H754="2",H754="U"),"Complete","Invalid"))</f>
        <v>Complete</v>
      </c>
    </row>
    <row r="755" customFormat="false" ht="84" hidden="false" customHeight="true" outlineLevel="0" collapsed="false">
      <c r="A755" s="8" t="s">
        <v>1126</v>
      </c>
      <c r="B755" s="8" t="s">
        <v>223</v>
      </c>
      <c r="C755" s="8" t="s">
        <v>224</v>
      </c>
      <c r="D755" s="8" t="s">
        <v>225</v>
      </c>
      <c r="E755" s="8" t="s">
        <v>137</v>
      </c>
      <c r="F755" s="8" t="s">
        <v>138</v>
      </c>
      <c r="G755" s="8" t="s">
        <v>139</v>
      </c>
      <c r="H755" s="9" t="s">
        <v>18</v>
      </c>
      <c r="I755" s="10"/>
      <c r="J755" s="11" t="n">
        <f aca="false">INT((ROW()-2)/50)+1</f>
        <v>16</v>
      </c>
      <c r="K755" s="11" t="str">
        <f aca="false">IF(H755="","Pending",IF(OR(H755="0",H755="1",H755="2",H755="U"),"Complete","Invalid"))</f>
        <v>Complete</v>
      </c>
    </row>
    <row r="756" customFormat="false" ht="84" hidden="false" customHeight="true" outlineLevel="0" collapsed="false">
      <c r="A756" s="12" t="s">
        <v>1127</v>
      </c>
      <c r="B756" s="12" t="s">
        <v>20</v>
      </c>
      <c r="C756" s="12" t="s">
        <v>21</v>
      </c>
      <c r="D756" s="12" t="s">
        <v>22</v>
      </c>
      <c r="E756" s="12" t="s">
        <v>372</v>
      </c>
      <c r="F756" s="12" t="s">
        <v>55</v>
      </c>
      <c r="G756" s="12" t="s">
        <v>373</v>
      </c>
      <c r="H756" s="13" t="s">
        <v>18</v>
      </c>
      <c r="I756" s="14"/>
      <c r="J756" s="15" t="n">
        <f aca="false">INT((ROW()-2)/50)+1</f>
        <v>16</v>
      </c>
      <c r="K756" s="15" t="str">
        <f aca="false">IF(H756="","Pending",IF(OR(H756="0",H756="1",H756="2",H756="U"),"Complete","Invalid"))</f>
        <v>Complete</v>
      </c>
    </row>
  </sheetData>
  <conditionalFormatting sqref="H2:H756">
    <cfRule type="cellIs" priority="2" operator="equal" aboveAverage="0" equalAverage="0" bottom="0" percent="0" rank="0" text="" dxfId="0">
      <formula>"2"</formula>
    </cfRule>
    <cfRule type="cellIs" priority="3" operator="equal" aboveAverage="0" equalAverage="0" bottom="0" percent="0" rank="0" text="" dxfId="1">
      <formula>"1"</formula>
    </cfRule>
    <cfRule type="cellIs" priority="4" operator="equal" aboveAverage="0" equalAverage="0" bottom="0" percent="0" rank="0" text="" dxfId="2">
      <formula>"0"</formula>
    </cfRule>
    <cfRule type="cellIs" priority="5" operator="equal" aboveAverage="0" equalAverage="0" bottom="0" percent="0" rank="0" text="" dxfId="3">
      <formula>"U"</formula>
    </cfRule>
  </conditionalFormatting>
  <conditionalFormatting sqref="K2:K756">
    <cfRule type="containsText" priority="6" operator="containsText" aboveAverage="0" equalAverage="0" bottom="0" percent="0" rank="0" text="Invalid" dxfId="2">
      <formula>NOT(ISERROR(SEARCH("Invalid",K2)))</formula>
    </cfRule>
  </conditionalFormatting>
  <dataValidations count="1">
    <dataValidation allowBlank="false" errorStyle="stop" operator="between" showDropDown="false" showErrorMessage="false" showInputMessage="false" sqref="H2:H756" type="list">
      <formula1>"0,1,2,U"</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5"/>
  </cols>
  <sheetData>
    <row r="1" customFormat="false" ht="37.5" hidden="false" customHeight="true" outlineLevel="0" collapsed="false">
      <c r="A1" s="16" t="s">
        <v>1128</v>
      </c>
      <c r="B1" s="16"/>
      <c r="C1" s="16"/>
      <c r="D1" s="16"/>
      <c r="E1" s="16"/>
      <c r="F1" s="16"/>
    </row>
    <row r="3" customFormat="false" ht="37.5" hidden="false" customHeight="true" outlineLevel="0" collapsed="false">
      <c r="A3" s="17" t="s">
        <v>1129</v>
      </c>
      <c r="B3" s="18" t="s">
        <v>1130</v>
      </c>
    </row>
    <row r="4" customFormat="false" ht="37.5" hidden="false" customHeight="true" outlineLevel="0" collapsed="false">
      <c r="A4" s="19" t="s">
        <v>1131</v>
      </c>
      <c r="B4" s="20" t="s">
        <v>1132</v>
      </c>
    </row>
    <row r="5" customFormat="false" ht="37.5" hidden="false" customHeight="true" outlineLevel="0" collapsed="false">
      <c r="A5" s="19" t="s">
        <v>1133</v>
      </c>
      <c r="B5" s="20" t="s">
        <v>1134</v>
      </c>
    </row>
    <row r="6" customFormat="false" ht="37.5" hidden="false" customHeight="true" outlineLevel="0" collapsed="false">
      <c r="A6" s="19" t="s">
        <v>1135</v>
      </c>
      <c r="B6" s="20" t="s">
        <v>1136</v>
      </c>
    </row>
    <row r="7" customFormat="false" ht="37.5" hidden="false" customHeight="true" outlineLevel="0" collapsed="false">
      <c r="A7" s="19" t="s">
        <v>1137</v>
      </c>
      <c r="B7" s="20" t="s">
        <v>1138</v>
      </c>
    </row>
    <row r="8" customFormat="false" ht="37.5" hidden="false" customHeight="true" outlineLevel="0" collapsed="false">
      <c r="A8" s="19" t="s">
        <v>1139</v>
      </c>
      <c r="B8" s="20" t="s">
        <v>1140</v>
      </c>
    </row>
    <row r="9" customFormat="false" ht="37.5" hidden="false" customHeight="true" outlineLevel="0" collapsed="false">
      <c r="A9" s="19" t="s">
        <v>1141</v>
      </c>
      <c r="B9" s="20" t="s">
        <v>1142</v>
      </c>
    </row>
    <row r="10" customFormat="false" ht="37.5" hidden="false" customHeight="true" outlineLevel="0" collapsed="false">
      <c r="A10" s="21" t="s">
        <v>1143</v>
      </c>
      <c r="B10" s="22" t="s">
        <v>1144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8"/>
  </cols>
  <sheetData>
    <row r="1" customFormat="false" ht="22.05" hidden="false" customHeight="false" outlineLevel="0" collapsed="false">
      <c r="A1" s="23" t="s">
        <v>1145</v>
      </c>
      <c r="B1" s="23"/>
      <c r="C1" s="23"/>
      <c r="D1" s="23"/>
      <c r="E1" s="23"/>
      <c r="F1" s="23"/>
    </row>
    <row r="3" customFormat="false" ht="15" hidden="false" customHeight="false" outlineLevel="0" collapsed="false">
      <c r="A3" s="24" t="s">
        <v>1146</v>
      </c>
      <c r="B3" s="25" t="n">
        <v>755</v>
      </c>
    </row>
    <row r="4" customFormat="false" ht="15" hidden="false" customHeight="false" outlineLevel="0" collapsed="false">
      <c r="A4" s="26" t="s">
        <v>1147</v>
      </c>
      <c r="B4" s="27" t="n">
        <f aca="false">COUNTIF(Judging!$K$2:$K$756,"Complete")</f>
        <v>755</v>
      </c>
    </row>
    <row r="5" customFormat="false" ht="15" hidden="false" customHeight="false" outlineLevel="0" collapsed="false">
      <c r="A5" s="26" t="s">
        <v>1148</v>
      </c>
      <c r="B5" s="27" t="n">
        <f aca="false">COUNTIF(Judging!$K$2:$K$756,"Pending")</f>
        <v>0</v>
      </c>
    </row>
    <row r="6" customFormat="false" ht="15" hidden="false" customHeight="false" outlineLevel="0" collapsed="false">
      <c r="A6" s="26" t="s">
        <v>1149</v>
      </c>
      <c r="B6" s="27" t="n">
        <f aca="false">COUNTIF(Judging!$K$2:$K$756,"Invalid")</f>
        <v>0</v>
      </c>
    </row>
    <row r="7" customFormat="false" ht="15" hidden="false" customHeight="false" outlineLevel="0" collapsed="false">
      <c r="A7" s="28" t="s">
        <v>1150</v>
      </c>
      <c r="B7" s="29" t="n">
        <f aca="false">B4/B3</f>
        <v>1</v>
      </c>
    </row>
    <row r="10" customFormat="false" ht="15" hidden="false" customHeight="false" outlineLevel="0" collapsed="false">
      <c r="A10" s="30" t="s">
        <v>1151</v>
      </c>
      <c r="B10" s="30" t="s">
        <v>1152</v>
      </c>
      <c r="C10" s="30" t="s">
        <v>1147</v>
      </c>
      <c r="D10" s="30" t="s">
        <v>1153</v>
      </c>
    </row>
    <row r="11" customFormat="false" ht="15" hidden="false" customHeight="false" outlineLevel="0" collapsed="false">
      <c r="A11" s="31" t="n">
        <v>1</v>
      </c>
      <c r="B11" s="31" t="n">
        <v>50</v>
      </c>
      <c r="C11" s="31" t="n">
        <f aca="false">COUNTIFS(Judging!$J$2:$J$756,A11,Judging!$K$2:$K$756,"Complete")</f>
        <v>50</v>
      </c>
      <c r="D11" s="31" t="n">
        <f aca="false">B11-C11</f>
        <v>0</v>
      </c>
    </row>
    <row r="12" customFormat="false" ht="15" hidden="false" customHeight="false" outlineLevel="0" collapsed="false">
      <c r="A12" s="31" t="n">
        <v>2</v>
      </c>
      <c r="B12" s="31" t="n">
        <v>50</v>
      </c>
      <c r="C12" s="31" t="n">
        <f aca="false">COUNTIFS(Judging!$J$2:$J$756,A12,Judging!$K$2:$K$756,"Complete")</f>
        <v>50</v>
      </c>
      <c r="D12" s="31" t="n">
        <f aca="false">B12-C12</f>
        <v>0</v>
      </c>
    </row>
    <row r="13" customFormat="false" ht="15" hidden="false" customHeight="false" outlineLevel="0" collapsed="false">
      <c r="A13" s="31" t="n">
        <v>3</v>
      </c>
      <c r="B13" s="31" t="n">
        <v>50</v>
      </c>
      <c r="C13" s="31" t="n">
        <f aca="false">COUNTIFS(Judging!$J$2:$J$756,A13,Judging!$K$2:$K$756,"Complete")</f>
        <v>50</v>
      </c>
      <c r="D13" s="31" t="n">
        <f aca="false">B13-C13</f>
        <v>0</v>
      </c>
    </row>
    <row r="14" customFormat="false" ht="15" hidden="false" customHeight="false" outlineLevel="0" collapsed="false">
      <c r="A14" s="31" t="n">
        <v>4</v>
      </c>
      <c r="B14" s="31" t="n">
        <v>50</v>
      </c>
      <c r="C14" s="31" t="n">
        <f aca="false">COUNTIFS(Judging!$J$2:$J$756,A14,Judging!$K$2:$K$756,"Complete")</f>
        <v>50</v>
      </c>
      <c r="D14" s="31" t="n">
        <f aca="false">B14-C14</f>
        <v>0</v>
      </c>
    </row>
    <row r="15" customFormat="false" ht="15" hidden="false" customHeight="false" outlineLevel="0" collapsed="false">
      <c r="A15" s="31" t="n">
        <v>5</v>
      </c>
      <c r="B15" s="31" t="n">
        <v>50</v>
      </c>
      <c r="C15" s="31" t="n">
        <f aca="false">COUNTIFS(Judging!$J$2:$J$756,A15,Judging!$K$2:$K$756,"Complete")</f>
        <v>50</v>
      </c>
      <c r="D15" s="31" t="n">
        <f aca="false">B15-C15</f>
        <v>0</v>
      </c>
    </row>
    <row r="16" customFormat="false" ht="15" hidden="false" customHeight="false" outlineLevel="0" collapsed="false">
      <c r="A16" s="31" t="n">
        <v>6</v>
      </c>
      <c r="B16" s="31" t="n">
        <v>50</v>
      </c>
      <c r="C16" s="31" t="n">
        <f aca="false">COUNTIFS(Judging!$J$2:$J$756,A16,Judging!$K$2:$K$756,"Complete")</f>
        <v>50</v>
      </c>
      <c r="D16" s="31" t="n">
        <f aca="false">B16-C16</f>
        <v>0</v>
      </c>
    </row>
    <row r="17" customFormat="false" ht="15" hidden="false" customHeight="false" outlineLevel="0" collapsed="false">
      <c r="A17" s="31" t="n">
        <v>7</v>
      </c>
      <c r="B17" s="31" t="n">
        <v>50</v>
      </c>
      <c r="C17" s="31" t="n">
        <f aca="false">COUNTIFS(Judging!$J$2:$J$756,A17,Judging!$K$2:$K$756,"Complete")</f>
        <v>50</v>
      </c>
      <c r="D17" s="31" t="n">
        <f aca="false">B17-C17</f>
        <v>0</v>
      </c>
    </row>
    <row r="18" customFormat="false" ht="15" hidden="false" customHeight="false" outlineLevel="0" collapsed="false">
      <c r="A18" s="31" t="n">
        <v>8</v>
      </c>
      <c r="B18" s="31" t="n">
        <v>50</v>
      </c>
      <c r="C18" s="31" t="n">
        <f aca="false">COUNTIFS(Judging!$J$2:$J$756,A18,Judging!$K$2:$K$756,"Complete")</f>
        <v>50</v>
      </c>
      <c r="D18" s="31" t="n">
        <f aca="false">B18-C18</f>
        <v>0</v>
      </c>
    </row>
    <row r="19" customFormat="false" ht="15" hidden="false" customHeight="false" outlineLevel="0" collapsed="false">
      <c r="A19" s="31" t="n">
        <v>9</v>
      </c>
      <c r="B19" s="31" t="n">
        <v>50</v>
      </c>
      <c r="C19" s="31" t="n">
        <f aca="false">COUNTIFS(Judging!$J$2:$J$756,A19,Judging!$K$2:$K$756,"Complete")</f>
        <v>50</v>
      </c>
      <c r="D19" s="31" t="n">
        <f aca="false">B19-C19</f>
        <v>0</v>
      </c>
    </row>
    <row r="20" customFormat="false" ht="15" hidden="false" customHeight="false" outlineLevel="0" collapsed="false">
      <c r="A20" s="31" t="n">
        <v>10</v>
      </c>
      <c r="B20" s="31" t="n">
        <v>50</v>
      </c>
      <c r="C20" s="31" t="n">
        <f aca="false">COUNTIFS(Judging!$J$2:$J$756,A20,Judging!$K$2:$K$756,"Complete")</f>
        <v>50</v>
      </c>
      <c r="D20" s="31" t="n">
        <f aca="false">B20-C20</f>
        <v>0</v>
      </c>
    </row>
    <row r="21" customFormat="false" ht="15" hidden="false" customHeight="false" outlineLevel="0" collapsed="false">
      <c r="A21" s="31" t="n">
        <v>11</v>
      </c>
      <c r="B21" s="31" t="n">
        <v>50</v>
      </c>
      <c r="C21" s="31" t="n">
        <f aca="false">COUNTIFS(Judging!$J$2:$J$756,A21,Judging!$K$2:$K$756,"Complete")</f>
        <v>50</v>
      </c>
      <c r="D21" s="31" t="n">
        <f aca="false">B21-C21</f>
        <v>0</v>
      </c>
    </row>
    <row r="22" customFormat="false" ht="15" hidden="false" customHeight="false" outlineLevel="0" collapsed="false">
      <c r="A22" s="31" t="n">
        <v>12</v>
      </c>
      <c r="B22" s="31" t="n">
        <v>50</v>
      </c>
      <c r="C22" s="31" t="n">
        <f aca="false">COUNTIFS(Judging!$J$2:$J$756,A22,Judging!$K$2:$K$756,"Complete")</f>
        <v>50</v>
      </c>
      <c r="D22" s="31" t="n">
        <f aca="false">B22-C22</f>
        <v>0</v>
      </c>
    </row>
    <row r="23" customFormat="false" ht="15" hidden="false" customHeight="false" outlineLevel="0" collapsed="false">
      <c r="A23" s="31" t="n">
        <v>13</v>
      </c>
      <c r="B23" s="31" t="n">
        <v>50</v>
      </c>
      <c r="C23" s="31" t="n">
        <f aca="false">COUNTIFS(Judging!$J$2:$J$756,A23,Judging!$K$2:$K$756,"Complete")</f>
        <v>50</v>
      </c>
      <c r="D23" s="31" t="n">
        <f aca="false">B23-C23</f>
        <v>0</v>
      </c>
    </row>
    <row r="24" customFormat="false" ht="15" hidden="false" customHeight="false" outlineLevel="0" collapsed="false">
      <c r="A24" s="31" t="n">
        <v>14</v>
      </c>
      <c r="B24" s="31" t="n">
        <v>50</v>
      </c>
      <c r="C24" s="31" t="n">
        <f aca="false">COUNTIFS(Judging!$J$2:$J$756,A24,Judging!$K$2:$K$756,"Complete")</f>
        <v>50</v>
      </c>
      <c r="D24" s="31" t="n">
        <f aca="false">B24-C24</f>
        <v>0</v>
      </c>
    </row>
    <row r="25" customFormat="false" ht="15" hidden="false" customHeight="false" outlineLevel="0" collapsed="false">
      <c r="A25" s="31" t="n">
        <v>15</v>
      </c>
      <c r="B25" s="31" t="n">
        <v>50</v>
      </c>
      <c r="C25" s="31" t="n">
        <f aca="false">COUNTIFS(Judging!$J$2:$J$756,A25,Judging!$K$2:$K$756,"Complete")</f>
        <v>50</v>
      </c>
      <c r="D25" s="31" t="n">
        <f aca="false">B25-C25</f>
        <v>0</v>
      </c>
    </row>
    <row r="26" customFormat="false" ht="15" hidden="false" customHeight="false" outlineLevel="0" collapsed="false">
      <c r="A26" s="31" t="n">
        <v>16</v>
      </c>
      <c r="B26" s="31" t="n">
        <v>5</v>
      </c>
      <c r="C26" s="31" t="n">
        <f aca="false">COUNTIFS(Judging!$J$2:$J$756,A26,Judging!$K$2:$K$756,"Complete")</f>
        <v>5</v>
      </c>
      <c r="D26" s="31" t="n">
        <f aca="false">B26-C26</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2026-07-26T19:49:11Z</dcterms:created>
  <dc:creator>openpyxl</dc:creator>
  <dc:description/>
  <dc:language>en-US</dc:language>
  <cp:lastModifiedBy/>
  <dcterms:modified xsi:type="dcterms:W3CDTF">2026-07-26T20:41:16Z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