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grade" sheetId="1" state="visible" r:id="rId3"/>
    <sheet name="Instructions" sheetId="2" state="visible" r:id="rId4"/>
    <sheet name="Progres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<sst xmlns="http://schemas.openxmlformats.org/spreadsheetml/2006/main" count="845" uniqueCount="412">
  <si>
    <t xml:space="preserve">display_id</t>
  </si>
  <si>
    <t xml:space="preserve">query_id</t>
  </si>
  <si>
    <t xml:space="preserve">question</t>
  </si>
  <si>
    <t xml:space="preserve">reference_answer</t>
  </si>
  <si>
    <t xml:space="preserve">chunk_id</t>
  </si>
  <si>
    <t xml:space="preserve">source_document_title</t>
  </si>
  <si>
    <t xml:space="preserve">candidate_chunk</t>
  </si>
  <si>
    <t xml:space="preserve">relevance_grade</t>
  </si>
  <si>
    <t xml:space="preserve">rationale</t>
  </si>
  <si>
    <t xml:space="preserve">v2q-004-candidate-10</t>
  </si>
  <si>
    <t xml:space="preserve">v2q-004</t>
  </si>
  <si>
    <t xml:space="preserve">What is the maximum micro-loan amount stated for PMMY?</t>
  </si>
  <si>
    <t xml:space="preserve">PMMY facilitates micro-credit loans up to ₹20 lakh for eligible income-generating micro-enterprises.</t>
  </si>
  <si>
    <t xml:space="preserve">pilot-v2-doc-pmegp-0002-f67d4c730011</t>
  </si>
  <si>
    <t xml:space="preserve">Prime Minister's Employment Generation Programme</t>
  </si>
  <si>
    <t xml:space="preserve">under the Business/Service sector is ₹20,00,000. The balance amount (excluding the own contribution)of the total project cost will be provided by Banks. If the total project cost exceeds ₹50,00,000 or ₹20,00,000 for Manufacturing and Service/Business sector respectively, the balance amount may be provided by Banks without any Government subsidy. 2. 2nd Loan for Upgradation of Existing PMEGP / REGP / MUDRA Units a) Categories of beneficiaries under PMEGP (for upgradation of existing units): All Categories b) Beneficiary's contribution (of project cost): 10% c) Rate of Subsidy (of project cost): 15% (20% in NER and Hill States). Note: The maximum cost of the project/unit admissible for Margin Money subsidy under the Manufacturing sector for upgradation is ₹10,00,00,000. The maximum subsidy would be ₹15,00,000 (₹20,00,000 for NER and Hill States). The maximum cost of the project/unit admissible for Margin Money subsidy under the Business/Service sector for upgradation is ₹25,00,000. The maximum subsidy would be ₹3,75,000 (₹5,00,000 for NER and Hill States). The balance amount (excluding the own contribution)of the total project cost will be provided by Banks. If the total project cost exceeds ₹10,00,00,000 or ₹25,00,000 for Manufacturing and Service/Business sector respectively, the balance amount may be provided by banks without any Government subsidy.. For PMEGP new enterprises (Units) Any individual, above 18 years of age. There will be no income ceiling for assistance in setting up projects under PMEGP. For setting up of project costing above Rs.10 lakh in the Manufacturing 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t>
  </si>
  <si>
    <t xml:space="preserve">v2q-019-candidate-22</t>
  </si>
  <si>
    <t xml:space="preserve">v2q-019</t>
  </si>
  <si>
    <t xml:space="preserve">What role does the Ministry of Petroleum and Natural Gas have in Ujjwala 2.0?</t>
  </si>
  <si>
    <t xml:space="preserve">The ministry introduced Ujjwala 2.0 to provide LPG connections and promote clean cooking fuel among poor, rural, and deprived households.</t>
  </si>
  <si>
    <t xml:space="preserve">pilot-v2-doc-apy-0000-c43dd88d7899</t>
  </si>
  <si>
    <t xml:space="preserve">Atal Pension Yojana</t>
  </si>
  <si>
    <t xml:space="preserve">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</si>
  <si>
    <t xml:space="preserve">v2q-029-candidate-13</t>
  </si>
  <si>
    <t xml:space="preserve">v2q-029</t>
  </si>
  <si>
    <t xml:space="preserve">What migrant-focused facility distinguishes Ujjwala 2.0, and what clean-cooking transition was established by its predecessor programme?</t>
  </si>
  <si>
    <t xml:space="preserve">Ujjwala 2.0 added 1.6 crore LPG connections with a special facility for migrant households. Its predecessor, Pradhan Mantri Ujjwala Yojana, sought to replace traditional cooking fuels with LPG access for rural and deprived households.</t>
  </si>
  <si>
    <t xml:space="preserve">pilot-v2-doc-pmay-g-0001-db2db8af1543</t>
  </si>
  <si>
    <t xml:space="preserve">Pradhan Mantri Awaas Yojana - Gramin</t>
  </si>
  <si>
    <t xml:space="preserve">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</si>
  <si>
    <t xml:space="preserve">v2q-024-candidate-05</t>
  </si>
  <si>
    <t xml:space="preserve">v2q-024</t>
  </si>
  <si>
    <t xml:space="preserve">Which national health-assurance programme does NHA implement under the health ministry?</t>
  </si>
  <si>
    <t xml:space="preserve">The National Health Authority implements AB-PMJAY under the Ministry of Health and Family Welfare.</t>
  </si>
  <si>
    <t xml:space="preserve">pilot-v2-doc-pmkvy-rpl-0000-c98f315c1481</t>
  </si>
  <si>
    <t xml:space="preserve">Pradhan Mantri Kaushal Vikas Yojana 4.0 - Recognition Of Prior Learning</t>
  </si>
  <si>
    <t xml:space="preserve">Pradhan Mantri Kaushal Vikas Yojana 4.0 - Recognition Of Prior Learning. Ministry Of Skill Development And Entrepreneurship. Implemented between FY 2022-2026 under the "Skill India Programme", the scheme component "Pradhan Mantri Kaushal Vikas Yojana 4.0 - Recognition of Prior Learning (RPL)" by the Ministry of Skill Development and Entrepreneurship (MSDE), Government of India aims to certify candidates who already possess prior-learning experience or skills, with emphasis on upskilling and horizontal skilling within the same NSQF level, so that they obtain industry-relevant skill certification. Through this scheme component, pre-screening, mandatory orientation/training, assessment, and a graded skill certificate, along with one-year accidental insurance and a T-shirt, are provided to candidates with prior learning experience or skills who are willing to get assessed and certified. The scheme is implemented by the National Skill Development Corporation (NSDC), the implementing arm of MSDE, through Recognition of Prior Learning Project Implementing Agencies (RPL-PIAs) responsible for overall execution, with assessment and certification by NCVET-approved Awarding Bodies (ABs) and Assessment Agencies (AAs).. The scheme aims to certify the existing skills of experienced candidates. Through this scheme, free assessment, upskilling, certification, and insurance are provided to Indian candidates.. Industry-relevant skill certification for candidates with prior learning experience or skills, through due assessment. Mandatory training/orientation of a minimum of 30 hours in a classroom setting, with the maximum duration of RPL being 132 hours. Pre-screening of candidates by certified trainers to assess their existing level of learning; no payment is charged to the candidate for pre-screening. Assessment and Certification, with a payout of ₹600 per candidate per assessment provided to the Sector Skill Councils (SSCs) / Awarding Bodies for overseeing and facilitating final assessments. Accidental Insurance with one year of coverage, paid from the scheme (as per prevailing rates, ₹14.16). A T-shirt is provided to the trainee by the RPL-PIA</t>
  </si>
  <si>
    <t xml:space="preserve">v2q-014-candidate-01</t>
  </si>
  <si>
    <t xml:space="preserve">v2q-014</t>
  </si>
  <si>
    <t xml:space="preserve">Under the national ration programme, what monthly cereal allocation goes to families in the poorest entitlement tier and to each person in the priority tier?</t>
  </si>
  <si>
    <t xml:space="preserve">AAY families receive 35 kilograms per family per month, while PHH beneficiaries receive 5 kilograms per person per month.</t>
  </si>
  <si>
    <t xml:space="preserve">pilot-v2-doc-pm-gkay-0000-c29b96f46a80</t>
  </si>
  <si>
    <t xml:space="preserve">Pradhan Mantri Garib Kalyan Anna Yojana</t>
  </si>
  <si>
    <t xml:space="preserve">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</si>
  <si>
    <t xml:space="preserve">v2q-003-candidate-04</t>
  </si>
  <si>
    <t xml:space="preserve">v2q-003</t>
  </si>
  <si>
    <t xml:space="preserve">What revised overdraft limit and RuPay accidental-insurance cover are stated for PMJDY?</t>
  </si>
  <si>
    <t xml:space="preserve">PMJDY states a revised overdraft limit of ₹10,000 and accidental-insurance cover of ₹2 lakh for RuPay cardholders.</t>
  </si>
  <si>
    <t xml:space="preserve">pilot-v2-doc-pmkvy-sp-0002-dc58b95bab9b</t>
  </si>
  <si>
    <t xml:space="preserve">Pradhan Mantri Kaushal Vikas Yojana 4.0- Special Projects</t>
  </si>
  <si>
    <t xml:space="preserve">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 aids, and appliances.1. Accidental Insurance: Every certified candidate is provided with 1-year accidental insurance, as per prevailing rates (₹14.16).1. Aadhaar Enabled Biometric Attendance System (AEBAS) Transaction Fees: Up to ₹10 per user, borne under the scheme.1. Post-Certification Tracking Support: Information Technology (IT)-based tracking for up to 1 year from the date of certification, with an allowance of up to ₹50 per certified candidate.1. Certification: A Quick Response (QR) code-based digital certificate is issued (on DigiLocker, on email/phone number, and on the Skill India Digital profile), and one printed certificate is provided free of cost by the Training Provider.1. Post-Certification Linkages: Certified candidates are linked with Rojgar Melas (including virtual) and Apprenticeship Melas and gain access to jobs, apprenticeship opportunities, and loans for entrepreneurship through Skill India Digital.. The applicant should be of Indian nationality. The applicant should possess a valid Aadhaar. The applicant should fulfil the eligibility criteria of the respective job role. The applicant should be in the age group of 15 to 45 years. The applicant should belong to a marginalised or vulnerable group, or another group requiring 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t>
  </si>
  <si>
    <t xml:space="preserve">v2q-028-candidate-01</t>
  </si>
  <si>
    <t xml:space="preserve">v2q-028</t>
  </si>
  <si>
    <t xml:space="preserve">What does PMKVY Recognition of Prior Learning certify, and which other pathway from its ministry serves candidates seeking fresh short-term skills training?</t>
  </si>
  <si>
    <t xml:space="preserve">PMKVY Recognition of Prior Learning certifies candidates’ existing skills. PMKVY Short-Term Training, under the same Ministry of Skill Development and Entrepreneurship, provides fresh skilling, reskilling, or upskilling.</t>
  </si>
  <si>
    <t xml:space="preserve">v2q-029-candidate-04</t>
  </si>
  <si>
    <t xml:space="preserve">pilot-v2-doc-pmay-g-0002-e08c1e347071</t>
  </si>
  <si>
    <t xml:space="preserve">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 PMAY-G will include all the houseless households living in zero, one, or two-room houses with kutcha walls and kutcha roofs (as per SECC data, and subject to the exclusion process). Criteria for Automatic/Compulsory Inclusion - 1. Households without shelter 2. Destitute/ living on alms 3. Manual scavengers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t>
  </si>
  <si>
    <t xml:space="preserve">v2q-023-candidate-18</t>
  </si>
  <si>
    <t xml:space="preserve">v2q-023</t>
  </si>
  <si>
    <t xml:space="preserve">What role does a Gram Panchayat play when a household registers for MGNREGA?</t>
  </si>
  <si>
    <t xml:space="preserve">A household may apply through its local Gram Panchayat, which verifies residence, household identity, and adult membership details.</t>
  </si>
  <si>
    <t xml:space="preserve">pilot-v2-doc-ab-pmjay-0003-1242266bb260</t>
  </si>
  <si>
    <t xml:space="preserve">Ayushman Bharat - Pradhan Mantri Jan Arogya Yojana</t>
  </si>
  <si>
    <t xml:space="preserve">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</si>
  <si>
    <t xml:space="preserve">v2q-031-candidate-09</t>
  </si>
  <si>
    <t xml:space="preserve">v2q-031</t>
  </si>
  <si>
    <t xml:space="preserve">How do three finance-sector programmes combine basic banking, life insurance, and accident insurance?</t>
  </si>
  <si>
    <t xml:space="preserve">PMJDY provides universal banking and access to financial services; PMJJBY supplies life cover for death from any cause; PMSBY supplies accidental-death and disability cover.</t>
  </si>
  <si>
    <t xml:space="preserve">pilot-v2-doc-pmegp-0003-43256e8e6645</t>
  </si>
  <si>
    <t xml:space="preserve">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</si>
  <si>
    <t xml:space="preserve">v2q-019-candidate-05</t>
  </si>
  <si>
    <t xml:space="preserve">pilot-v2-doc-pmfby-0001-4270154049cc</t>
  </si>
  <si>
    <t xml:space="preserve">Pradhan Mantri Fasal Bima Yojna (PMFBY)</t>
  </si>
  <si>
    <t xml:space="preserve">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RISKS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t>
  </si>
  <si>
    <t xml:space="preserve">v2q-008-candidate-04</t>
  </si>
  <si>
    <t xml:space="preserve">v2q-008</t>
  </si>
  <si>
    <t xml:space="preserve">Which accident-insurance programme is abbreviated PMSBY, and which outcomes trigger its cover?</t>
  </si>
  <si>
    <t xml:space="preserve">PMSBY stands for Pradhan Mantri Suraksha Bima Yojana and covers accidental death and disability.</t>
  </si>
  <si>
    <t xml:space="preserve">pilot-v2-doc-pmsby-0000-0f297846df39</t>
  </si>
  <si>
    <t xml:space="preserve">Pradhan Mantri Suraksha Bima Yojana</t>
  </si>
  <si>
    <t xml:space="preserve">Pradhan Mantri Suraksha Bima Yojana. Ministry Of Finance. Department of Financial Service. Banks. 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 An Accident Insurance Scheme offering accidental death and disability cover for death or disability on account of an accident.. 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t>
  </si>
  <si>
    <t xml:space="preserve">v2q-030-candidate-03</t>
  </si>
  <si>
    <t xml:space="preserve">v2q-030</t>
  </si>
  <si>
    <t xml:space="preserve">What retirement benefit does APY offer, and which life-insurance programme administered through the same department covers death from any cause?</t>
  </si>
  <si>
    <t xml:space="preserve">APY offers guaranteed monthly pension options after age 60. PMJJBY, associated with the same Department of Financial Services, provides life cover for death due to any reason.</t>
  </si>
  <si>
    <t xml:space="preserve">pilot-v2-doc-pm-kmy-guidelines-0004-79b3bf95bb65</t>
  </si>
  <si>
    <t xml:space="preserve">Pradhan Mantri Kisan Maan Dhan Yojana Operational Guidelines</t>
  </si>
  <si>
    <t xml:space="preserve">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</si>
  <si>
    <t xml:space="preserve">v2q-008-candidate-05</t>
  </si>
  <si>
    <t xml:space="preserve">pilot-v2-doc-pmsby-0001-8851a01ce006</t>
  </si>
  <si>
    <t xml:space="preserve">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 one can visit the bank branch where one has a savings account or the candidate can visit the official site: https://jansuraksha.gov.in/Forms-PMSBY.aspx to download the form. Step 02: After downloading the application form , candidate can fill in all the details and submit them to the bank along with the required documents. Step 03: Once it is successfully submitted , subscriber will get an Acknowledgement Slip Cum Certificate of Insurance. Contact: State wise tollfree number - https://jansuraksha.gov.in/files/STATEWISETOLLFREE.pdf National Toll Free Number - 1800-180-1111 / 1800-110-001. One can also avail cover under PMSBY online using their bank's Net banking facility.</t>
  </si>
  <si>
    <t xml:space="preserve">v2q-011-candidate-03</t>
  </si>
  <si>
    <t xml:space="preserve">v2q-011</t>
  </si>
  <si>
    <t xml:space="preserve">What does PM JANMAN stand for, and which communities does it target?</t>
  </si>
  <si>
    <t xml:space="preserve">PM JANMAN stands for PM Janjati Adivasi Nyaya Maha Abhiyan and targets Particularly Vulnerable Tribal Groups.</t>
  </si>
  <si>
    <t xml:space="preserve">pilot-v2-doc-pmmy-0000-70a89ee32765</t>
  </si>
  <si>
    <t xml:space="preserve">Pradhan Mantri Mudra Yojana</t>
  </si>
  <si>
    <t xml:space="preserve">Pradhan Mantri Mudra Yojana. Ministry Of Finance. Department of Financial Service. Member Lending Institutions - Bank Or A Micro Finance Institution (MFI) / Non-Banking Finance Company (NBFC) / Other Financial Intermediary. 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Public Sector Banks Private Sector Banks State operated cooperative banks Rural banks from regional sector Micro Finance Institution (MFI) Non-Banking Finance Company (NBFC) Small Finance Banks (SFBs) Other financial intermediary approved by Mudra Ltd. as member financial institutions Interest rate The interest rates are declared by Member Lending Institutions from time to time as per Reserve Bank of India guidelines based on which applicable interest rate is determined. Upfront fee/Processing charges Banks may consider charging of 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t>
  </si>
  <si>
    <t xml:space="preserve">v2q-001-candidate-18</t>
  </si>
  <si>
    <t xml:space="preserve">v2q-001</t>
  </si>
  <si>
    <t xml:space="preserve">What is the minimum house size specified under PMAY-G?</t>
  </si>
  <si>
    <t xml:space="preserve">The minimum house size is 25 square metres, including a dedicated hygienic cooking area.</t>
  </si>
  <si>
    <t xml:space="preserve">pilot-v2-doc-mgnrega-0001-5203a455caa6</t>
  </si>
  <si>
    <t xml:space="preserve">Mahatma Gandhi National Rural Employment Guarantee Act</t>
  </si>
  <si>
    <t xml:space="preserve">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</si>
  <si>
    <t xml:space="preserve">v2q-025-candidate-05</t>
  </si>
  <si>
    <t xml:space="preserve">v2q-025</t>
  </si>
  <si>
    <t xml:space="preserve">What banking function does PMJDY provide, and which other programme from its ministry finances income-generating micro-enterprises?</t>
  </si>
  <si>
    <t xml:space="preserve">PMJDY provides universal banking services for unbanked households. PMMY, under the same Ministry of Finance, provides micro-credit for income-generating micro-enterprises.</t>
  </si>
  <si>
    <t xml:space="preserve">pilot-v2-doc-pmjdy-0001-95c3d046d79a</t>
  </si>
  <si>
    <t xml:space="preserve">Pradhan Mantri Jan Dhan Yojana</t>
  </si>
  <si>
    <t xml:space="preserve">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 The applicant should be an Indian National. If minors above ten years apply, they will require support from their legal guardians for administering their PMJDY account.. Step 1- Go to the official portal of PMJDY. Step 2- Under the &amp;quot;e-documents&amp;quot; section,</t>
  </si>
  <si>
    <t xml:space="preserve">v2q-004-candidate-16</t>
  </si>
  <si>
    <t xml:space="preserve">pilot-v2-doc-pm-kmy-guidelines-0022-e87f63954812</t>
  </si>
  <si>
    <t xml:space="preserve">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 liability on the other participating stakeholders. The
process to be followed for dispute resolution is provided in the MoUs.
g)    Any matter related to execution, grievance redressal, dispute resolution etc. shall
be  referred  to  the  Joint  Secretary (Farmers  Welfare), Department  of  Agriculture,
Cooperation and Farmers Welfare, Ministry of Agriculture &amp; farmers Welfare,  Krishi
Bhavan, New Delhi – 110001 for redressal.
                                    ******
                                              15
प्रधानमंत्री किसान मानधन योजना (पीएम-िेएमवाई)
                                  प्रचालन संबंधी दिशाननिेश
1. स्िनम
      सरकार  ने  देश  के सभी भूधारक लघु और  सीमाांत  ककसानों  के ललए  "प्रधानमांत्री ककसान
मान-धन  योजना  (पीएम-केएमवाई)", नामक  वृद्धावस्था  पेंशन  योजना   शुरू  की   है  जो एक
स्वैच्छिक और अांशदायी पेंशन  स्कीम  है और इसमें शालमल  होने की आयु 18 से 40 वर्ष  है। यह
स्कीम    9 अगस्त, 2019 से प्रभावी  है।
2. उद्िेश्य और लाभ
      सरकार की ओर से ककसानों के ललए आय और मूल्य समथषन के ललए कई योजनाएां चलाई
गई  हैं। तथापप, ककसानों के ललए एक सामाच्जक  सुरक्षा कवच सृच्जत करने की जरूरत महसूस की
गई  है  क्योंकक  वृद्धावस्था   में अधधकाांश ककसानों की आजीपवका  के साधन नह रह जाते। खेती-
बाडी के ललए  खेतों  में कडी मेहनत करनी होती  है जो उनकी  उम्र की इस अवस्था  में कन न होता
है। यह समस्या लघु और सीमाांत ककसानों के ललए और भी बडी होती  है क्योंकक उनके पास  बुढापे
में बेहद मामूल  या  शून्य बचत होती  है।  प्रधानमांत्री ककसान मान धन योजना (पीएम-केएमवाई) के
अांतगषत सभी भूधारक लघु और  सीमाांत ककसानों  पुरूर् और  स्त्री  दोनों  के ललए</t>
  </si>
  <si>
    <t xml:space="preserve">v2q-023-candidate-07</t>
  </si>
  <si>
    <t xml:space="preserve">pilot-v2-doc-pm-svanidhi-0000-f6024bb09ca5</t>
  </si>
  <si>
    <t xml:space="preserve">PM Street Vendor’s AtmaNirbhar Nidhi (PM SVANidhi)</t>
  </si>
  <si>
    <t xml:space="preserve">PM Street Vendor’s AtmaNirbhar Nidhi (PM SVANidhi). Ministry Of Housing &amp; Urban Affairs. Urban Local Bodies (ULBs) And Town Vending Committees (TVCs). The scheme &amp;quot;PM Street Vendor’s AtmaNirbhar Nidhi (PM SVANidhi)&amp;quot; by the Ministry of Housing and Urban Affairs, Government of India aims to formalize street vendors and enhance their economic opportunities through providing collateral-free working capital loans, interest subsidy, and digital transaction incentives to street vendors. It was launched on 1st June 2020 as a central sector scheme. The scheme supports vendors in restarting and expanding their businesses. It also promotes digital payments to increase financial inclusion. Street vendors include hawkers, thelewala, rehriwala, and others engaged in small-scale vending activities.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 PM SVANidhi is a micro-credit scheme launched on 1st June 2020 by the MoHUA to provide handholding support to street vendors. The scheme facilitates 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t>
  </si>
  <si>
    <t xml:space="preserve">v2q-021-candidate-09</t>
  </si>
  <si>
    <t xml:space="preserve">v2q-021</t>
  </si>
  <si>
    <t xml:space="preserve">How do insurance companies and banks participate in PMFBY?</t>
  </si>
  <si>
    <t xml:space="preserve">PMFBY is implemented through a network of insurance companies and banks to provide crop-insurance protection to farmers.</t>
  </si>
  <si>
    <t xml:space="preserve">pilot-v2-doc-pmjdy-0000-8b241ec39723</t>
  </si>
  <si>
    <t xml:space="preserve">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</si>
  <si>
    <t xml:space="preserve">v2q-002-candidate-18</t>
  </si>
  <si>
    <t xml:space="preserve">v2q-002</t>
  </si>
  <si>
    <t xml:space="preserve">What maximum premium rates can farmers pay under PMFBY for Kharif, Rabi, and annual commercial or horticultural crops?</t>
  </si>
  <si>
    <t xml:space="preserve">Farmers pay at most 2% for Kharif food and oilseed crops, 1.5% for Rabi food and oilseed crops, and 5% for annual commercial or horticultural crops.</t>
  </si>
  <si>
    <t xml:space="preserve">v2q-017-candidate-06</t>
  </si>
  <si>
    <t xml:space="preserve">v2q-017</t>
  </si>
  <si>
    <t xml:space="preserve">Which training route serves people no longer in education or work who need an initial occupational skill?</t>
  </si>
  <si>
    <t xml:space="preserve">PMKVY 4.0 Short-Term Training provides fresh skilling, reskilling, or upskilling for groups including school or college dropouts and unemployed youth.</t>
  </si>
  <si>
    <t xml:space="preserve">pilot-v2-doc-pmkvy-stt-0002-9b8eeae9f924</t>
  </si>
  <si>
    <t xml:space="preserve">Pradhan Mantri Kaushal Vikas Yojana 4.0 - Short-Term Training</t>
  </si>
  <si>
    <t xml:space="preserve">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 Grade A (85% and above), Grade B (70% to less than 85%). More than 70% biometric (AEBAS) attendance is required for each candidate to appear in the assessment. The indicative average per-candidate cost is ₹9,540 for a 300-hour STT course (including Skill Hubs) and ₹13,724 for a 450-hour STT course, derived considering a base training cost of ₹27.89 per hour. Funds are released to Training Providers / Training Centres / Skill Hubs in three tranches: Tranche 1 — 30% on commencement of training; Tranche 2 — 30% on the batch achieving 70% AEBAS attendance once and 50% of training being over; Tranche 3 — 40% on certification (passed candidates only). The accidental insurance coverage is valid for one year, and post-certification tracking is conducted for one year from the date of certification.. The applicant should be an Indian national. The applicant should possess a valid Aadhaar. The applicant should be in the age group of 15 to 45 years. The applicant should fulfil the eligibility criteria of the respective job role, as defined in the course curriculum of the job role to be offered. The applicant may be a candidate looking for fresh skilling, re-skilling, or upskilling. The applicant may be an out-of-education candidate, a school/college dropout, or an unemployed youth. The applicant should not be enrolled again in the same job role in which he/she was already trained earlier. The applicant, if already certified once under PMKVY, opting for</t>
  </si>
  <si>
    <t xml:space="preserve">v2q-024-candidate-16</t>
  </si>
  <si>
    <t xml:space="preserve">pilot-v2-doc-pmkvy-stt-0000-546ef459ea0e</t>
  </si>
  <si>
    <t xml:space="preserve">Pradhan Mantri Kaushal Vikas Yojana 4.0 - Short-Term Training. Ministry Of Skill Development And Entrepreneurship. Implemented between FY 2022-2026 under the "Skill India Programme", the scheme component "Pradhan Mantri Kaushal Vikas Yojana 4.0 - Short-Term Training" by the Ministry of Skill Development and Entrepreneurship (MSDE), Government of India, aims to deliver market-oriented and demand-driven skill training to youth and to enhance their employability through industry-relevant, NSQF-aligned courses with an inherent On-the-Job Training component. Through this scheme component, free NSQF-aligned skill training ranging between 300 and 600 hours, On-the-Job Training (OJT), an induction kit, assessment and certification, accidental insurance, and applicable allowances are provided to candidates looking for fresh skilling, re-skilling, or upskilling, including out-of-education candidates, school/college dropouts, and unemployed youth of Indian nationality. The scheme is implemented by the National Skill Development Corporation (NSDC), the implementing arm of MSDE and the designated Central Nodal Agency (CNA), through accredited and affiliated Training Centres.. The scheme aims to provide demand-driven, employability-focused skill training. Through this scheme, free NSQF-aligned training, On-the-Job Training, certification, and allowances are provided to Indian youth.. The scheme provides free NSQF-aligned skill training ranging between 300 and 600 hours; courses of higher duration based on industry/sectoral demand can also be offered, and training in higher-level NSQF job roles (level 5, 6 and above) is also imparted. On-the-Job Training (OJT) is provided as an inherent component to give candidates practical exposure and a live-work environment, with the duration guided by 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t>
  </si>
  <si>
    <t xml:space="preserve">v2q-019-candidate-17</t>
  </si>
  <si>
    <t xml:space="preserve">pilot-v2-doc-pm-gkay-0002-9e804cd883e8</t>
  </si>
  <si>
    <t xml:space="preserve">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The applicant should belong to an eligible Below Poverty Line (BPL) family of a human immunodeficiency virus (HIV) positive person.. Interested persons shall visit the nearest Fair Price Shop with the Ration Card: Beneficiaries can quote either their ration card number or the Aadhaar number to any Fair Price Shop dealer across the country. Beneficiaries can undergo Aadhaar authentication by using their fingerprints or iris-based identification.</t>
  </si>
  <si>
    <t xml:space="preserve">v2q-014-candidate-16</t>
  </si>
  <si>
    <t xml:space="preserve">pilot-v2-doc-pm-kmy-guidelines-0000-0582a8323d67</t>
  </si>
  <si>
    <t xml:space="preserve">Pradhan Mantri Kisan Maan Dhan Yojana (PM-KMY)
                   OPERATIONAL GUIDELINES
1.   Scheme
     The Government of India has introduced an old age pension scheme for all land
holding Small and Marginal Farmers (SMFs)  in the country, namely, the “Pradhan
Mantri Kisan Maan-Dhan Yojana (PM-KMY)”, as a voluntary and contributory
pension scheme for the entry age group of 18 to 40 years. The Scheme is effective from
the 9th August, 2019.
2.    Objective and Benefits
      There have been a series of interventions for income and price support by the
Government for farmers. However, there is a felt need to create a social security net for
the farmers as old age may result in loss of livelihood for many of them.  Farming
requires hard work in fields which becomes difficult at an advanced age. The problem is
compounded in respect of small and marginal farmers as they have minimal or no savings
to provide for old age. The Pradhan Mantri Kisan Maan-Dhan Yojana (PM-KMY) provides
for an assured monthly pension of Rs. 3000/- to  all land holding Small and Marginal
Farmers (SMFs), whether male or female, on their attaining the age of 60 years. Farmers
falling within the purview  of the exclusion  criteria (as defined  in Para 5  of these
guidelines)  are, however, not  eligible  for the  benefit. The key features and other
consequential benefits accruing to the subscribers of the Scheme are detailed further in
these guidelines.
3.    Definitions :
    (a) “BENEFICIARY” shall 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t>
  </si>
  <si>
    <t xml:space="preserve">v2q-007-candidate-23</t>
  </si>
  <si>
    <t xml:space="preserve">v2q-007</t>
  </si>
  <si>
    <t xml:space="preserve">What is the full form of PMJJBY, and which event does its life insurance cover?</t>
  </si>
  <si>
    <t xml:space="preserve">PMJJBY stands for Pradhan Mantri Jeevan Jyoti Bima Yojana and provides life-insurance cover for death due to any reason.</t>
  </si>
  <si>
    <t xml:space="preserve">pilot-v2-doc-apy-0003-68e7199c9d14</t>
  </si>
  <si>
    <t xml:space="preserve">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 “Atal Pension Yojana”. Select “APY Registration” Fill the basic details in the form. One can complete KYC through 3 options – Offline KYC – Where one has to upload XML file of Aadhaar Aadhaar – Where KYC is done through OTP verification on Mobile Number register with Aadhaar Virtual ID – Where Aadhaar virtual ID is created for KYC Citizen can select either one of three options. Once the basic details are filled, an acknowledgement number is generated. Citizen then has to fill personal details and decide the pension amount he/she wants after 60 years. The Citizen also has to decide the frequency of contribution for the scheme. Once the citizen “confirms” for personal details, he/she has to then fill nominee details. After submitting the personal and Nominee details, Citizen is redirected to NSDL website for eSign. Once Aadhaar is OTP verified, Citizen gets successfully registered in APY. One can also join digitally through e-APY portal or through web portal of banks providing such facility. Visit website “https://enps.nsdl.com/eNPS/NationalPensionSystem.html “ and select “Atal Pension Yojana”. Helpline Number - - Toll Free Helpline number for APY Scheme is 1800-110-069. One can visit the nearest Bank branch or Post Office where he/ she is having a saving bank account and submit the APY registration form for opening the APY account.</t>
  </si>
  <si>
    <t xml:space="preserve">v2q-002-candidate-04</t>
  </si>
  <si>
    <t xml:space="preserve">v2q-029-candidate-05</t>
  </si>
  <si>
    <t xml:space="preserve">pilot-v2-doc-pm-janman-0000-69ac65d10edc</t>
  </si>
  <si>
    <t xml:space="preserve">PM Janjati Adivasi Nyaya Maha Abhiyan (PM JANMAN)</t>
  </si>
  <si>
    <t xml:space="preserve">PM Janjati Adivasi Nyaya Maha Abhiyan (PM JANMAN). Ministry Of Tribal Affairs. 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The scheme aims to improve the socio-economic status of PVTGs by saturating families and habitations with basic facilities and services. It provides 11 critical infrastructure and welfare interventions, including housing, water, electricity, and connectivity.. Housing Provision of pucca houses to all eligible Particularly Vulnerable Tribal Group households having kaccha houses (Target: 4,90,000 households). The basic unit cost of the house is enhanced to ₹2,00,000/-, with additional facilities raising it to ₹2,39,000/-. Road Connectivity Construction of connecting roads (Target: 8,000 KM) linking approximately 6,500 Particularly Vulnerable Tribal Group villages. The construction cost per Kilometer would be ₹1,00,00,000/-. Drinking Water Provision of piped water supply/Functional Household Tap Connection (FHTC) to all Particularly Vulnerable 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t>
  </si>
  <si>
    <t xml:space="preserve">v2q-014-candidate-20</t>
  </si>
  <si>
    <t xml:space="preserve">pilot-v2-doc-apy-0002-66a5cc4017fb</t>
  </si>
  <si>
    <t xml:space="preserve">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 From 1st October, 2022, any citizen who is or has been an income tax payer, shall not be eligible to join APY.. 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t>
  </si>
  <si>
    <t xml:space="preserve">v2q-025-candidate-09</t>
  </si>
  <si>
    <t xml:space="preserve">pilot-v2-doc-pmmy-0002-526833661bcb</t>
  </si>
  <si>
    <t xml:space="preserve">need for educational qualification, if any, is assessed based on the nature of the proposed activity and its requirement.. The following are the pre-requisites for the enrolment process: ID Proof Address Proof Passport size photograph Applicant Signature Proof of Identity / Address of Business Enterprises Step 01: Go to PM MUDRA official website and after that select the Udyamimitra portal Step 02: Click on Mudra loan "Apply Now" Step 03: Select one of the following : New entrepreneur/ Existing Entrepreneur/Self-employed professional Step 04: Then fill in the name of the applicant, email and Mobile number and Generate OTP After Successful Registration Step 01: Fill in Personal Details and Professional Details. Step 02: Select hand-holding agencies if any help is required for preparing project proposals etc., otherwise click &amp;quot;Loan Application Center&amp;quot; and apply. Step 03: Select the category of loan required - Mudra Shishu / Mudra Kishore/ Mudra Tarun. Step 04: The applicant then needs to fill in the Business Information like business name, business activity, etc. and select industry type like Manufacturing, Service, Trading or activities allied to agriculture. Step 05: Fill in other information like owner details, existing Banking/ Credit facilities, proposed credit facilities, future estimates and preferred lender. Step 06: Attach all required Documents i.e. ID proof, Address proof, Applicant photo, Applicant Signature, Proof of Identity/ Address of Business Enterprise, etc. Step 07: Once the application is submitted, an Application Number gets generated which needs to be kept for future reference.</t>
  </si>
  <si>
    <t xml:space="preserve">v2q-034-candidate-01</t>
  </si>
  <si>
    <t xml:space="preserve">v2q-034</t>
  </si>
  <si>
    <t xml:space="preserve">How do three programmes meet distinct household needs for rural housing, clean cooking, and food security?</t>
  </si>
  <si>
    <t xml:space="preserve">PMAY-G supports pucca rural housing with basic amenities; PMUY provides LPG access to deprived households replacing traditional cooking fuels; PMGKAY provides free foodgrains to eligible AAY and PHH ration-card holders.</t>
  </si>
  <si>
    <t xml:space="preserve">pilot-v2-doc-pmay-u-0001-b64fadc4bf6b</t>
  </si>
  <si>
    <t xml:space="preserve">Pradhan Mantri Awas Yojana - Urban</t>
  </si>
  <si>
    <t xml:space="preserve">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The applicant or his/her family members must not own a pucca house in any part of the country. The family must comprise of husband/wife and unmarried children. The town/city in which the family resides must be covered under the scheme. The family MUST NOT have previously availed the benefits of any housing-related schemes set up by the Government of India.. Step 1: Interested beneficiary who wants to own a house under PMAY-U 2.0 can register herself/himself on the PMAY-U 2.0 website, wherein it is required to click on ‘Apply for PMAY-U 2.0’ tab. Step 2: The User is required to read and understand the instructions carefully, her/his eligibility criteria, the option to choose any one vertical out of the four verticals of PMAY-U 2,0 before availing the benefits. Step 3: After proceeding, the User needs to undergo the eligibility check for the scheme. Step 4: Once the Eligibility check is completed, the user shall give consent for Aadhaar authentication. Step 5: User will then be taken to the Beneficiary Survey Form for all verticals. The survey form has different sections. User Manual: Click here.. Step 1: Visit a Common Service Centre (CSC) near you. Step 2: Purchase the application form by paying ₹ 25 (plus GST) at the counter. Step 3: In the form, fill in all the mandatory details, and attach copies of the required documents. The details to be filled include name,</t>
  </si>
  <si>
    <t xml:space="preserve">v2q-009-candidate-11</t>
  </si>
  <si>
    <t xml:space="preserve">v2q-009</t>
  </si>
  <si>
    <t xml:space="preserve">What does APY stand for, and what monthly pension range does it guarantee after age 60?</t>
  </si>
  <si>
    <t xml:space="preserve">APY stands for Atal Pension Yojana and offers guaranteed monthly pension options from ₹1,000 to ₹5,000 after age 60.</t>
  </si>
  <si>
    <t xml:space="preserve">pilot-v2-doc-pm-kmy-guidelines-0005-1b88dfec836a</t>
  </si>
  <si>
    <t xml:space="preserve">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 which their
       PM-Kisan benefits are credited, so that their contributions are automatically paid;
 (vi) The eligible SMFs who are not beneficiaries of PM-Kisan or who have not given
       consent  to  allow payment from  the  benefit  of PM-Kisan  shall  submit an
       enrolment-cum-auto-debit mandate form for giving their consent to auto-debit a
       bank account which is normally used by them for bank transactions;
 (vii) The Central Government through the Department of Agriculture Cooperation and
       Farmers Welfare shall also contribute an equal amount as contributed by the
         eligible subscriber, to the pension Fund. Account of such co-contributions shall be
       maintained separately by the LIC and these co-contributions along with fund
        earnings from time to time shall be utilized for pension payment on the date of
        vesting. Co-contributions would not be paid to subscribers in case of pre-mature
         exits. In such a case, the co-contributions along with fund earnings  will be
        transferred back to Pension Fund.
 (viii) The State  / UT Governments  will have the option of sharing the burden of
         individual SMF beneficiary’s contribution.
 (ix) The monthly contributions will fall due on the same day every month as enrolment
        date. The beneficiaries may also chose an option to pay their contributions on
        quarterly, 4-monthly or half-yearly basis. Such contributions will fall due on the
      same day of such period as the date of enrollment;
                                               4
(x)  The amount of the monthly contribution shall range between Rs.55 to Rs.200 per
      month depending upon the</t>
  </si>
  <si>
    <t xml:space="preserve">v2q-003-candidate-02</t>
  </si>
  <si>
    <t xml:space="preserve">pilot-v2-doc-pmjdy-0002-8b8c40538d6e</t>
  </si>
  <si>
    <t xml:space="preserve">their strong network of BCs/Bank Mitras are providing hassle free services to the customers in remote / rural areas.. The applicant should be an Indian National. If minors above ten years apply, they will require support from their legal guardians for administering their PMJDY account.. Step 1- Go to the official portal of PMJDY. Step 2- Under the &amp;quot;e-documents&amp;quot; section, you will find live links for &amp;quot;Account Opening Form&amp;quot;. Applicants can access this in both English and Hindi languages. Click on the appropriate language option. Step 3- This will open the form in PDF format. Download it and get a printout. Step 4- Fill the form manually with all your bank and personal data, including bank branch, name of town/village, block/district, Aadhaar number, profession, annual income, details of Kisan credit card, and others. Step 5- Once you fill it out, visit your nearest bank branch and submit it. While submitting the form, you will need to produce certain documents along with your Mobile number or email Id to qualify for the Jan Dhan Yojana.</t>
  </si>
  <si>
    <t xml:space="preserve">v2q-002-candidate-09</t>
  </si>
  <si>
    <t xml:space="preserve">pilot-v2-doc-pmkvy-stt-0001-ea2787dec4e8</t>
  </si>
  <si>
    <t xml:space="preserve">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 Bodies for overseeing and facilitating final assessments. Every candidate is offered one chance of re-assessment free of cost, with the fees borne from the scheme. Accidental Insurance with one year of coverage is provided to every certified candidate, as per prevalent rates (₹14.16). Boarding and Lodging along with transport facilities are provided to special groups (women and Persons with Disability) and Special Areas as defined in Common Norms, and may also be extended to Aspirational, Border, Tribal-dominated, and LWE-affected districts. Conveyance/Transportation cost is permissible for women and Persons with Disability (PwD) in case of non-residential training, as per Common Norms. Additional support of ₹5,000 towards assistive devices, aids, and appliances is provided to all PwD candidates. A free printed certificate is provided, along with a QR-code-based digital certificate issued through DigiLocker, an email/phone download link, and the Skill India Digital profile; a convocation ceremony is also held for passed-out candidates. Post-certification, candidates are tracked for one year, linked with Rojgar Melas and Apprenticeship Melas, and given access through Skill India Digital to jobs, apprenticeship opportunities, and other facilities including loans 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t>
  </si>
  <si>
    <t xml:space="preserve">v2q-012-candidate-24</t>
  </si>
  <si>
    <t xml:space="preserve">v2q-012</t>
  </si>
  <si>
    <t xml:space="preserve">What does PM SVANidhi stand for, and who is its intended beneficiary group?</t>
  </si>
  <si>
    <t xml:space="preserve">PM SVANidhi stands for PM Street Vendor’s AtmaNirbhar Nidhi and supports street vendors through working-capital and related incentives.</t>
  </si>
  <si>
    <t xml:space="preserve">pilot-v2-doc-ab-pmjay-0002-58c80bb24a6c</t>
  </si>
  <si>
    <t xml:space="preserve">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</si>
  <si>
    <t xml:space="preserve">v2q-023-candidate-20</t>
  </si>
  <si>
    <t xml:space="preserve">pilot-v2-doc-pmay-g-0003-2769023a3f73</t>
  </si>
  <si>
    <t xml:space="preserve">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To ensure that assistance is targeted at those who are genuinely deprived and that the selection is objective and verifiable, the housing deprivation parameters in the SECC data will be used for identifying households and then verified by the Gram Sabhas.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t>
  </si>
  <si>
    <t xml:space="preserve">v2q-020-candidate-01</t>
  </si>
  <si>
    <t xml:space="preserve">v2q-020</t>
  </si>
  <si>
    <t xml:space="preserve">How do NSDC and SPIAs divide responsibility in the Special Projects arm of the national skill mission?</t>
  </si>
  <si>
    <t xml:space="preserve">NSDC supports the ministry’s implementation, while Special Projects Implementing Agencies deliver the projects on the ground.</t>
  </si>
  <si>
    <t xml:space="preserve">pilot-v2-doc-pm-kmy-guidelines-0021-7ce201d9d183</t>
  </si>
  <si>
    <t xml:space="preserve">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
financial parameters of Scheme approved by the Cabinet, for effective implementation.
b)    The  overall  implementation  of  the Scheme would be done by  the  Project
Monitoring Unit (PMU) set up for PM-Kisan Scheme at Central level in the DAC&amp;FW. The
PMU   shall   also  undertake   publicity  campaign   (Information,   Education  and
Communication-IEC) for the Scheme and also incur various administrative expenses.
c)    Each State/UT Government will designate a Nodal Department for implementation
of the scheme and coordinating with Central Government with regard to implementation
of the Scheme.
d)   A Grievance Redressal  Cell  shall be set up both at State and  District Levels
accordingly with representation of State Nodal Officers, State Level Bankers’ Committee
and  Regional Manager,  LIC.    Similarly,  District  Levels  shall have DLBC and  LIC
Representatives along with District level Government Officers.
e)      All disputes to the extent of and limited to the transactions routed through
National Automated Clearing House (NACH) system should be routed by the banks
through the Dispute Management System (DMS) provided by NPCI.  The disputes so
                                              14
raised on the Sponsor Bank shall be resolved within 30 days from 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t>
  </si>
  <si>
    <t xml:space="preserve">v2q-032-candidate-04</t>
  </si>
  <si>
    <t xml:space="preserve">v2q-032</t>
  </si>
  <si>
    <t xml:space="preserve">How do three farmer programmes separately address crop loss, current income needs, and old-age income security?</t>
  </si>
  <si>
    <t xml:space="preserve">PMFBY insures crops against specified losses; PM-KISAN transfers ₹6,000 annually to eligible farmer families; PM-KMY provides eligible small and marginal farmers an assured ₹3,000 monthly pension from age 60.</t>
  </si>
  <si>
    <t xml:space="preserve">pilot-v2-doc-pm-kisan-guidelines-0009-4b2b66f9fbc9</t>
  </si>
  <si>
    <t xml:space="preserve">PM-KISAN Operational Guidelines</t>
  </si>
  <si>
    <t xml:space="preserve">can use the beneficiary Aadhaar number and other
information provided in the declaration to verify the  eligibility of the beneficiary for
scheme as per extant scheme guidelines with the concerned agencies”.
6.3   The existing land-ownership system in the concerned State / UT will be used for
identification of beneficiaries. Accordingly,  it  is of utmost importance that the land
records are clear and updated. Further, State / UT Governments would also expedite
                                         6
the progress of digitization of the land records and linking the same with Aadhaar as
well as bank details of the beneficiaries.
6.4   The lists of eligible beneficiaries would be published at the village level. Farmers’
families who are eligible but have been excluded should be provided an opportunity to
represent their case.
7.    Review, Monitoring and Grievance Redressal Mechanism
7.1   There will be stratified review  / monitoring mechanism at National, State and
District Level. At the National level, the Review Committee will be headed by Cabinet
Secretary. The States shall notify the State and District Level Review  / Monitoring
Committee.
7.2   The States  shall also  notify State and  District Level Grievance Redressal
Monitoring Committees for looking into all the grievances related to implementation of
the scheme. Any grievances or complaints which are received should be disposed off
on merit preferably within two weeks time.
8.    Setting up of Project Monitoring Unit (PMU)
8.1  A Project Monitoring Unit (PMU) at Central level will be set up in the Department
of Agriculture, Cooperation &amp; Farmers Welfare (DAC&amp;FW) in the form of a Society
registered under the Societies Registration Act, 1860. This PMU shall be tasked with
the responsibility of overall monitoring of the scheme and shall be headed by Chief
Executive Officer (CEO). PMU shall also undertake publicity campaign (Information,
Education and Communication-IEC).
8.2   Each  State   / UT  Government</t>
  </si>
  <si>
    <t xml:space="preserve">v2q-005-candidate-22</t>
  </si>
  <si>
    <t xml:space="preserve">v2q-005</t>
  </si>
  <si>
    <t xml:space="preserve">How many days of wage employment does MGNREGA guarantee a rural household in a financial year?</t>
  </si>
  <si>
    <t xml:space="preserve">MGNREGA guarantees at least 100 days of wage employment per financial year to a rural household whose adult members volunteer for unskilled work.</t>
  </si>
  <si>
    <t xml:space="preserve">pilot-v2-doc-pm-gkay-0001-ccd31e120258</t>
  </si>
  <si>
    <t xml:space="preserve">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 rice or wheat, depending on the state, with fortified rice distributed nationwide. Since January 2023, the foodgrains have been provided completely free of cost (at zero cost) to the beneficiaries. Through One Nation One Ration Card, beneficiaries can collect their ration from any fair price shop anywhere in India.. The applicant should be a household belonging to the Antyodaya Anna Yojana (AAY) category or the Priority Households (PHH) category. Priority Households (PHH) are to be identified by the state governments/union territory administrations as per the criteria evolved by them. Antyodaya Anna Yojana (AAY) families are to be identified by the States / Union Territories as per the criteria prescribed by the Central Government, as listed below. Criteria for Antyodaya Anna Yojana (AAY) Families: The applicant should be a household headed by a widow, a terminally ill person, a disabled person, or a person aged 60 years or more, with no assured means of subsistence or societal support. The applicant should be a widow, a terminally ill person, a disabled person, a person aged 60 years or more, a single woman, 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t>
  </si>
  <si>
    <t xml:space="preserve">v2q-030-candidate-05</t>
  </si>
  <si>
    <t xml:space="preserve">pilot-v2-doc-pm-kmy-guidelines-0007-64fd9c6362ca</t>
  </si>
  <si>
    <t xml:space="preserve">is not already an SMF beneficiary of the Scheme. The rate
of  contribution and  vesting date  shall remain the same. Pension  accruals  will be
calculated as  if subscriber were to be alive on the vesting date. However, the same
pension would be payable to the spouse. Upon death of spouse after vesting date,
pension corpus would be transferred back to Pension Fund.
(xii)  In case of death of subscriber before vesting date, if the spouse does not exercise
option of continuing under the scheme, then subscribers’ contributions along with fund
                                               5
interest earned or Savings Bank Interest whichever is higher would be payable to the
spouse under the scheme.
(xiii) In case of death of subscriber before vesting date,  if there is no spouse, then
subscribers’ contributions along with fund interest earned or Savings Bank Interest,
whichever  is higher, would be payable to the nominee/s under the scheme. The co-
contributions made by Government along with fund interest earned after adjusting for
difference between Savings Bank Interest payable and fund interest earned, if any will be
credited back to Pension fund of Government.
(xiv)  If a subscriber dies after the date of vesting, his/her spouse shall be entitled to
receive  fifty per cent of the pension received by such  eligible subscriber as Family
Pension, provided she/he is not already an SMF beneficiary of the Scheme, and such
family pension shall be applicable only to the spouse.
(xv)  After death of subscriber as well as of his/her spouse, the corpus  i.e.  total
accumulated contributions made by the subscriber and the Government shall be credited
back to the fund.
(xvi)  The Eligible SMFs desirous of joining the scheme shall  visit nearest Common
Service Centre (CSC) along with his Aadhaar card and bank passbook or account details.
(xvii) The Village Level Entrepreneur (VLE)</t>
  </si>
  <si>
    <t xml:space="preserve">v2q-022-candidate-17</t>
  </si>
  <si>
    <t xml:space="preserve">v2q-022</t>
  </si>
  <si>
    <t xml:space="preserve">Which finance programme relies on Member Lending Institutions to extend assistance to non-corporate micro-enterprises?</t>
  </si>
  <si>
    <t xml:space="preserve">Eligible Member Lending Institutions extend PMMY financial assistance and provide the scheme’s micro-loans to qualifying micro and small enterprises.</t>
  </si>
  <si>
    <t xml:space="preserve">v2q-014-candidate-04</t>
  </si>
  <si>
    <t xml:space="preserve">pilot-v2-doc-pmay-u-0000-0b5e95b2690a</t>
  </si>
  <si>
    <t xml:space="preserve">Pradhan Mantri Awas Yojana - Urban. Ministry Of Housing &amp; Urban Affairs. The “Pradhan Mantri Awas Yojana – Urban (PMAY-U)” was launched on 25th June 2015 by the Ministry of Housing &amp;amp; Urban Affairs, Government of India with the vision of “Housing for All” to provide pucca houses to eligible urban households. Implemented by the Ministry of Housing and Urban Affairs, the scheme addresses urban housing shortages, especially for EWS, LIG, and MIG categories, including slum dwellers. It promotes affordable and sustainable housing through components like the Credit Linked Subsidy Scheme (CLSS), offering interest subsidies on housing loans. The mission covers all statutory towns and notified urban areas as per Census 2011. Aadhaar is mandatory for all eligible beneficiaries under the scheme.. Pradhan Mantri Awas Yojana - Urban (PMAY-U) Scheme was launched on 25th June 2015 by the Hon’ble Prime Minister to provide all-weather pucca houses to all eligible urban households across the nation with the vision of ‘Housing for All’.. States/UTsBLC &amp;amp;amp;amp; AHPARHISSAssam, Arunachal Pradesh, Meghalaya, Manipur, Mizoram, Nagaland, Tripura, Sikkim, Himachal Pradesh, Uttarakhand, UTs of Jammu and Kashmir, Puducherry, and DelhiCentral Govt. - ₹2.25 lakh/Unit; State Govt. - Min. ₹0.25 lakh/UnitTechnology Innovation Grant Central Govt. - ₹3,000/sqm per unit State Govt.- ₹2,000/sqm per unit Home Loan Subsidy – up to ₹1.80 lakh (Actual Release) per unit by the Government of India as a Central Sector SchemeAll other UTsCentral Govt. - ₹2.50 lakh/UnitDoDoAll other StatesCentral Govt. - ₹1.5 lakh/Unit; 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t>
  </si>
  <si>
    <t xml:space="preserve">v2q-013-candidate-13</t>
  </si>
  <si>
    <t xml:space="preserve">v2q-013</t>
  </si>
  <si>
    <t xml:space="preserve">Which initiative helps women in low-income countryside homes replace smoke-producing solid cooking materials with bottled gas?</t>
  </si>
  <si>
    <t xml:space="preserve">Pradhan Mantri Ujjwala Yojana provides LPG access to rural and deprived households that previously relied on traditional cooking fuels.</t>
  </si>
  <si>
    <t xml:space="preserve">pilot-v2-doc-pmuy-0000-ad06c0c09d46</t>
  </si>
  <si>
    <t xml:space="preserve">Pradhan Mantri Ujjwala Yojana</t>
  </si>
  <si>
    <t xml:space="preserve">Pradhan Mantri Ujjwala Yojana. Ministry Of Petroleum and Natural Gas. In May 2016, the Ministry of Petroleum and Natural Gas (MOPNG), introduced the ‘Pradhan Mantri Ujjwala Yojana’ (PMUY) as a flagship scheme with an objective to make clean cooking fuel such as LPG available to the rural and deprived households which were otherwise using traditional cooking fuels such as firewood, coal, cow-dung cakes etc. Usage of traditional cooking fuels had detrimental impacts on the health of rural women as well as on the environment. The scheme was launched on 1st May 2016 in Ballia, Uttar Pradesh by Hon’ble Prime Minister of India, Shri. Narendra Modi The target under the scheme was to release 8 Crore LPG Connections to the deprived households by March 2020. On 7th September 2019, Hon’ble Prime Minister of India handed over the 8th Crore LPG connection in Aurangabad, Maharashtra. The release of 8 Crore LPG connections under the scheme has also helped in increasing the LPG coverage from 62% on 1st May 2016 to 99.8% as on 1st April 2021. Under the Union Budget for FY 21-22, provision for release of additional 1 Crore LPG connections under the PMUY scheme has been made. In this phase, special facility has been given to migrant families.. A scheme by Ministry of Petroleum and Natural Gas for Providing free LPG connections to women belonging to the Below Poverty Line (BPL) households.. Rs. 1600 for a connection 14.2kg cylinder or 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t>
  </si>
  <si>
    <t xml:space="preserve">v2q-017-candidate-12</t>
  </si>
  <si>
    <t xml:space="preserve">pilot-v2-doc-pmkvy-sp-0003-738795a9ef96</t>
  </si>
  <si>
    <t xml:space="preserve">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 a higher job role in the same sector is permitted.. Stage 1: The applicant first registers on the Skill India Digital (SID) platform or the mobile application developed for the purpose; profile verification is completed through mobile-based OTP / eKYC, and a de-duplication check is carried out. Stage 2: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3: A de-duplication check is carried out against the data available in the Skill India Digital database, so that the applicant is not enrolled again in the same job role in which he/she was trained earlier. Stage 4: The applicant's profile is completed, with existing details fetched from other portals such as e-Shram and National Career Services (NCS). Stage 5: The applicant avails online counselling offered through Skill India Digital to select an appropriate course and Training Centre. Stage 6: The applicant selects the nearest Training Centre based on the availability of the preferred job role and the quality of training infrastructure (rating, centre profile), or is mapped automatically through logic-based mapping to the nearest Training Centre. Stage 7: On selection and enrolment, the applicant undergoes training, followed by On-the-Job Training (OJT) in applicable job roles. Stage 8: The</t>
  </si>
  <si>
    <t xml:space="preserve">v2q-001-candidate-16</t>
  </si>
  <si>
    <t xml:space="preserve">v2q-009-candidate-13</t>
  </si>
  <si>
    <t xml:space="preserve">v2q-006-candidate-13</t>
  </si>
  <si>
    <t xml:space="preserve">v2q-006</t>
  </si>
  <si>
    <t xml:space="preserve">What annual hospitalisation cover does AB-PMJAY provide per eligible family?</t>
  </si>
  <si>
    <t xml:space="preserve">AB-PMJAY provides cashless hospitalisation cover of ₹5 lakh per family per year for secondary and tertiary healthcare.</t>
  </si>
  <si>
    <t xml:space="preserve">pilot-v2-doc-ab-pmjay-0001-a632a7205efc</t>
  </si>
  <si>
    <t xml:space="preserve">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</si>
  <si>
    <t xml:space="preserve">v2q-031-candidate-21</t>
  </si>
  <si>
    <t xml:space="preserve">pilot-v2-doc-apy-0001-add48d27a4a2</t>
  </si>
  <si>
    <t xml:space="preserve">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subscriber&amp;#39;s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t>
  </si>
  <si>
    <t xml:space="preserve">v2q-024-candidate-14</t>
  </si>
  <si>
    <t xml:space="preserve">v2q-034-candidate-09</t>
  </si>
  <si>
    <t xml:space="preserve">v2q-004-candidate-24</t>
  </si>
  <si>
    <t xml:space="preserve">pilot-v2-doc-pm-janman-0001-0deee4377b38</t>
  </si>
  <si>
    <t xml:space="preserve">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 in existing schools in Particularly Vulnerable Tribal Group areas. The cost is ₹2,75,00,000/- per hostel construction, subject to the actual estimate as per existing cost sharing ratio. Anganwadi Centers (AWCs) Construction of Anganwadi Centers (Target: 2,500 AWCs) in Particularly Vulnerable Tribal Group habitations/villages. The unit cost is ₹12,00,000/- per Anganwadi Center. Livelihood (VDVKs) Setting up of Van Dhan Vikas Kendras (VDVKs) (Target: 500 VDVKs). An amount of ₹15,00,000/- meant for 300 members will be released on a pro rata basis. Multipurpose Centers (MPCs) Construction of Multipurpose Centers (Target: 1,000 MPCs). The unit cost is ₹60,00,000/- per unit. Solar Power/Electricity Provision of solar power solutions to 1,00,000 Particularly Vulnerable Tribal Group households. Funding is ₹50,000/- per household or actual cost for 300 Watt supply. Telecom Connectivity Installation of mobile towers (Target: 3,000 mobile towers) in all uncovered villages/habitations.. The applicant must belong to a Particularly Vulnerable Tribal Group (PVTG) community. The applicant must reside in one of the 18 States and Union Territories having a notified Particularly Vulnerable Tribal Group population. The applicant household must be identified as eligible through the 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t>
  </si>
  <si>
    <t xml:space="preserve">v2q-003-candidate-12</t>
  </si>
  <si>
    <t xml:space="preserve">v2q-008-candidate-11</t>
  </si>
  <si>
    <t xml:space="preserve">v2q-001-candidate-20</t>
  </si>
  <si>
    <t xml:space="preserve">v2q-016-candidate-07</t>
  </si>
  <si>
    <t xml:space="preserve">v2q-016</t>
  </si>
  <si>
    <t xml:space="preserve">How can an experienced worker obtain formal recognition for skills learned outside a training course?</t>
  </si>
  <si>
    <t xml:space="preserve">PMKVY 4.0 Recognition of Prior Learning assesses, upskills, and certifies candidates who already possess relevant skills or prior-learning experience.</t>
  </si>
  <si>
    <t xml:space="preserve">pilot-v2-doc-pmkvy-sp-0001-43aac7629fa6</t>
  </si>
  <si>
    <t xml:space="preserve">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 lifelong skilling through upskilling and reskilling to address the dynamic needs of the ever-changing market. The scheme ensures quality training delivery through trained pedagogy, standardised assessments, and industry-relevant curriculum. The scheme facilitates enhanced employability through training in transferable skills and incentives for employment generation. The scheme provides candidate-centric training with emphasis on industry-relevant skills.. The scheme aims to address the skilling needs of marginalised groups and difficult geographies. Project-based short-term skill training is provided to such candidates.. The following benefits are provided to candidates under Special Projects: Base Training Cost: Provided as per the rationalised hourly base cost of ₹27.89 per hour.1. Free Short-Term Skill Training: On-the-Job Training (OJT) is provided in applicable job roles for practical, live-work exposure.1. Uniform, Induction Kit, and Participant Handbook: Maximum up to ₹500 per candidate. The induction kit consists of a T-shirt (Male) or Jacket (Female) and a bag.1. Assessment and Certification: ₹600 per assessment per candidate, funded under the scheme. Every candidate is offered one free-of-charge chance of re-assessment.1. Boarding, Lodging, and Transportation: Provided to special groups (Women and Persons with Disability) and 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t>
  </si>
  <si>
    <t xml:space="preserve">v2q-012-candidate-06</t>
  </si>
  <si>
    <t xml:space="preserve">v2q-027-candidate-03</t>
  </si>
  <si>
    <t xml:space="preserve">v2q-027</t>
  </si>
  <si>
    <t xml:space="preserve">What livelihood mechanism does PM SVANidhi offer street vendors, and which other programme from its ministry addresses housing shortages for eligible urban households?</t>
  </si>
  <si>
    <t xml:space="preserve">PM SVANidhi offers street vendors collateral-free working-capital loans, interest subsidy, and digital-payment incentives. PMAY-U, under the same Ministry of Housing and Urban Affairs, provides housing support for eligible urban households.</t>
  </si>
  <si>
    <t xml:space="preserve">v2q-004-candidate-14</t>
  </si>
  <si>
    <t xml:space="preserve">pilot-v2-doc-pm-kmy-guidelines-0020-27037b9fe8a1</t>
  </si>
  <si>
    <t xml:space="preserve">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 to such of the remaining
Nominees as survive the Subscriber unless the Subscriber has made written request
otherwise to the LIC  in the prescribed form.
                                              13
18.  INTERPRETATION OF GUIDELINES:
It shall be a condition of the membership of the Scheme that on any question arising on
any point of interpretation of these Guidelines or any point relating to cessation of
membership, the decision of the DAC&amp;FW shall be final.
19.  COORDINATION AMONG VARIOUS PARTICIPATING AGENCIES
The DAC&amp;FW has entered into detailed Memorandum of Understanding (MoUs) with
various participating agencies for seamless implementation of the Scheme, namely, the
LIC, the CSC-SPV, the NPCI, the IDBI and the IBA. These MoUs contained detailed roles
and responsibilities of these agencies among themselves as well as towards smooth
implementation of the Scheme. Further, the DAC&amp;FW has also taken the key financial
institutions / authorities, namely, the Department of Financial Services (DFS) under the
Ministry of Finance, the Reserve Bank of India (RBI) and the Insurance Regulatory &amp;
Development  Authority  of  India (IRDAI) on-board  for  successful  operation  of  the
Scheme.
20.    REVIEW, MONITORING AND 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t>
  </si>
  <si>
    <t xml:space="preserve">v2q-028-candidate-15</t>
  </si>
  <si>
    <t xml:space="preserve">pilot-v2-doc-pmkvy-rpl-0004-3a140d40bcee</t>
  </si>
  <si>
    <t xml:space="preserve">either General Orientation (with modules for Employability Skills, Career Progression, Opportunities for formal education, etc.) or Orientation with NOS (with modules for NOS, Employability Skills, Career Progression, etc.). The maximum duration of RPL is 132 hours. Stage 4: The applicant undergoes assessment (Theory and Practical), conducted by the Awarding Bodies, equivalent to STT assessment, with AEBAS-based compulsory attendance. Stage 5: On passing with at least 70% marks, the applicant is awarded a graded (A/B) Skill Certificate and Marksheet, issued via DigiLocker, an email/phone download link, and the SID profile page.</t>
  </si>
  <si>
    <t xml:space="preserve">v2q-027-candidate-17</t>
  </si>
  <si>
    <t xml:space="preserve">v2q-004-candidate-05</t>
  </si>
  <si>
    <t xml:space="preserve">pilot-v2-doc-pmegp-0000-7b958e1ec4b0</t>
  </si>
  <si>
    <t xml:space="preserve">Prime Minister's Employment Generation Programme. Ministry Of Micro, Small and Medium Enterprises. Khadi And Village Industries Commission (KVIC). The &amp;quot;Prime Minister’s Employment Generation Programme (PMEGP)&amp;quot;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t>
  </si>
  <si>
    <t xml:space="preserve">v2q-030-candidate-11</t>
  </si>
  <si>
    <t xml:space="preserve">pilot-v2-doc-pm-kmy-guidelines-0001-5d83566dbb68</t>
  </si>
  <si>
    <t xml:space="preserve">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 Vehicle” a company promoted by the Ministry of
       Electronics and Information Technology (MeitY).
   (d) “EFFECTIVE DATE” in relation to the Scheme means the date from which this
     scheme takes effect / starts i.e. the 9th August, 2019;
                                               1
(e)   “Enrolling Agency” or “Enrollment Agency” means the agency chosen by
   the Government for enrollment of subscribers. Presently, CSC-SPV and State Nodal
    Officers (SNOs) or agency chosen / nominated by them is the enrolling agency.
(f) “ENTRY DATE” means
       a.  in relation to the original subscribers the Effective Date; and
       b.  in relation to new subscribers admitted to the Scheme after the Effective
          Date, their Date of Joining;
(g) “Eligible subscriber” means a Small and Marginal Farmer who is eligible to join
    this Scheme;
(h) “Family” means, —
     (i) wife, in the case of male eligible subscriber;
     (ii) husband, in the case of a female eligible subscriber;
(i)   “Government” or “Central Government” or “Ministry” or “Department”
   means “Government of India through the Ministry of Agriculture and Farmers
   Welfare, Department of Agriculture, Cooperation and Farmers Welfare”;
(j)   “LIC” or “Corporation”  means  “Life Insurance 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t>
  </si>
  <si>
    <t xml:space="preserve">v2q-022-candidate-08</t>
  </si>
  <si>
    <t xml:space="preserve">v2q-002-candidate-03</t>
  </si>
  <si>
    <t xml:space="preserve">pilot-v2-doc-pmfby-0002-5c46025b568d</t>
  </si>
  <si>
    <t xml:space="preserve">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 All farmers, including tenant farmers and sharecroppers growing notified crops in notified areas. Farmers must have an insurable interest in the insured crops. Farmers must possess a valid and authenticated land ownership certificate or a valid land tenure agreement. The farmer must be a cultivator or sharecropper on the insured land. The farmer must apply for insurance coverage within the prescribed time frame, usually within 2 weeks of the start of the sowing season. Farmers must not have received compensation for the same crop loss from any other medium or source.. Non-Notified Areas PMFBY applies to notified areas, and crop losses in non-notified areas are generally not covered. Farmers in areas not designated under the scheme may not receive compensation. Losses Outside the Crop Cycle Crop losses occurring outside the specified crop cycle are often excluded from coverage. If a loss is not directly related to the growing season, it may not be eligible for compensation. Negligence and Non-Compliance Losses resulting from farmer negligence, non-compliance with recommended agricultural practices, or failure to protect the crop adequately may be excluded. Losses Beyond Specified Limits Some losses beyond specified limits or thresholds may not be covered. The scheme may have predefined criteria for determining the extent of loss that qualifies for compensation. Non-Premium Payment Farmers who fail to pay their premium contributions as required may not be eligible for coverage.</t>
  </si>
  <si>
    <t xml:space="preserve">v2q-032-candidate-05</t>
  </si>
  <si>
    <t xml:space="preserve">v2q-033-candidate-13</t>
  </si>
  <si>
    <t xml:space="preserve">v2q-033</t>
  </si>
  <si>
    <t xml:space="preserve">How do three programmes support micro-enterprises, new enterprise creation, and street-vendor livelihoods through different financial mechanisms?</t>
  </si>
  <si>
    <t xml:space="preserve">PMMY provides micro-credit to eligible micro-enterprises; PMEGP uses a credit-linked subsidy to establish new micro-enterprises; PM SVANidhi provides street vendors collateral-free working-capital loans, interest subsidy, and digital-payment incentives.</t>
  </si>
  <si>
    <t xml:space="preserve">v2q-015-candidate-09</t>
  </si>
  <si>
    <t xml:space="preserve">v2q-015</t>
  </si>
  <si>
    <t xml:space="preserve">Which initiative helps job-seekers and established craftspeople launch small businesses outside agriculture?</t>
  </si>
  <si>
    <t xml:space="preserve">The Prime Minister's Employment Generation Programme supports new micro-enterprises to create self-employment for traditional artisans, unemployed youth, and other eligible beneficiaries.</t>
  </si>
  <si>
    <t xml:space="preserve">pilot-v2-doc-pmegp-0004-80f46cce6893</t>
  </si>
  <si>
    <t xml:space="preserve">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 sale of intoxicant items like Beedi/Pan/ Cigar/Cigarette etc., any Hotel or Dhaba or sales outlet serving liquor, preparation/producing tobacco as raw materials, tapping of toddy for sale will not be allowed. Any Industry/Business connected with cultivation of crops/plantation like Tea, Coffee, Rubber etc. Sericulture (Cocoon rearing), Horticulture, Floriculture, Animal Husbandry will not be allowed.However, value addition under these will be allowed under PMEGP. Off Farm/Farm Linked activities in connection with sericulture, horticulture, floriculture etc. will also be allowed. Activities prohibited by Local Government/Authorities keeping in view environment or socio-economic factors will not be allowed .. Application For New Unit: Step 1: Visit the official website. Step 2: Click on the “Apply” button under the “Application For New Unit” tab . Step 3: Furnish all the required details on the Online Application Form and click on "Save Applicant Data". Step 4: On the next page, upload the required documents and proceed for final submission. Application For Existing Units (2nd Loan): Step 1: Visit the official website. Step 2: Click on the “Apply” button under the “Application For Existing Units (2nd Loan)” tab. Step 3: Click on the Online Application tab and fill out the Online Application Form. Step 4: Complete the form and click on Next page, upload the required documents and proceed for final submission. Login Form For Registered Applicant of Second Loan Subsidy for Upgrading of Existing Unit: Step 1: Visit the official website of the PMEGP Portal. Step</t>
  </si>
  <si>
    <t xml:space="preserve">v2q-032-candidate-15</t>
  </si>
  <si>
    <t xml:space="preserve">v2q-018-candidate-18</t>
  </si>
  <si>
    <t xml:space="preserve">v2q-018</t>
  </si>
  <si>
    <t xml:space="preserve">Which initiative helps city households across officially defined lower and middle income bands obtain permanent homes?</t>
  </si>
  <si>
    <t xml:space="preserve">Pradhan Mantri Awas Yojana–Urban addresses urban housing shortages and supports eligible EWS, LIG, and MIG households, including slum dwellers.</t>
  </si>
  <si>
    <t xml:space="preserve">v2q-034-candidate-03</t>
  </si>
  <si>
    <t xml:space="preserve">v2q-020-candidate-21</t>
  </si>
  <si>
    <t xml:space="preserve">pilot-v2-doc-pmay-g-0004-f8ee90715c3f</t>
  </si>
  <si>
    <t xml:space="preserve">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t>
  </si>
  <si>
    <t xml:space="preserve">v2q-001-candidate-05</t>
  </si>
  <si>
    <t xml:space="preserve">pilot-v2-doc-pmuy-0001-5fd4d0cd2135</t>
  </si>
  <si>
    <t xml:space="preserve">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 a poor household and not having an LPG connection in her household will be eligible under UJJWALA 2.0. The beneficiaries should belong to any of the following categories: Eligible as per SECC 2011 list Belongs to SC/ST households, be a beneficiary of Pradhan Mantri Awas Yojana (PMAY), Antyodaya Anna Yojana (AAY), Forest dwellers, Most Backward Classes (MBC), Tea and Ex-Tea Garden Tribes, People residing in river islands (Beneficiary will submit supporting document) If she is not falling in the above 2 categories, then she can stake her claim to be a beneficiary under Poor household by submitting 14-point declaration (as per prescribed format). Male Member from a household cannot apply for the scheme.. Following are the prerequisites for the enrollment process: Aadhar Card Ration card Address Proof Passport size photograph Bank Details Apply the application form through online official website. 1. Select the oil company name example Indane / Bharatgas / HP Gas Select Type of Connection like Ujjwala 2.0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t>
  </si>
  <si>
    <t xml:space="preserve">v2q-022-candidate-07</t>
  </si>
  <si>
    <t xml:space="preserve">v2q-010-candidate-03</t>
  </si>
  <si>
    <t xml:space="preserve">v2q-010</t>
  </si>
  <si>
    <t xml:space="preserve">What is the full form of PM POSHAN, and what meal benefit does it provide?</t>
  </si>
  <si>
    <t xml:space="preserve">PM POSHAN means Prime Minister's Overarching Scheme for Holistic Nourishment and provides one hot cooked meal to children in government and government-aided schools.</t>
  </si>
  <si>
    <t xml:space="preserve">pilot-v2-doc-pm-poshan-0000-7be831685336</t>
  </si>
  <si>
    <t xml:space="preserve">PM POSHAN - Prime Minister's Overarching Scheme For Holistic Nourishment</t>
  </si>
  <si>
    <t xml:space="preserve">PM POSHAN - Prime Minister's Overarching Scheme For Holistic Nourishment. Ministry of Education. Department of School Education and Literacy. Ministry Of Education. PM POSHAN is a centrally sponsored scheme by the Department of School Education &amp; Literacy, Ministry of Education. Under this scheme, one hot cooked meal will be provided to the children studying in Government and Government – aided schools. The Scheme is implemented across the country covering all the eligible children without any discrimination of gender and social class. The main objectives of the PM POSHAN Abhiyaan are to address two of the pressing problems for the majority of children in India, viz. hunger and education by improving the nutritional status of eligible children in Government and Government-aided schools as well as encouraging poor children, belonging to disadvantaged sections, to attend school more regularly and help them concentrate on classroom activities. POSHAN Abhiyaan is one of the many schemes under the umbrella scheme "Integrated Child Development Services Scheme (ICDS)". ICDS also includes Anganwadi Services Scheme, Pradhan Mantri Matru Vandana Yojana, and Scheme for Adolescent Girls.. PM POSHAN is a centrally sponsored scheme by the Department of School Education &amp; Literacy, Ministry of Education. Under this scheme, one hot cooked meal will be provided to the children studying in Government and Government – aided schools. The Scheme is implemented by the Ministry of Education.. Nutrition norm per child per day: Primary: Calorie – 450; Protein - 12 gms Upper Primary: Calorie – 700; Protein - 20 gms Food norms per child per day: Primary: Food grains - 100 gms; Pulses - 20 gms; Vegetables - 50 gms; Oil &amp; fat - 5 gms, Salt &amp; condiments - As per need. Upper Primary: Food grains - 150 gms; Pulses - 30 gms; Vegetables - 75 gms; Oil &amp; fat –</t>
  </si>
  <si>
    <t xml:space="preserve">v2q-033-candidate-02</t>
  </si>
  <si>
    <t xml:space="preserve">v2q-001-candidate-22</t>
  </si>
  <si>
    <t xml:space="preserve">pilot-v2-doc-ab-pmjay-0004-2e5074722cd7</t>
  </si>
  <si>
    <t xml:space="preserve">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 Number Verification and MPIN Creation You will be redirected to the mobile number verification page. Enter your mobile number and get it verified via OTP. Create an MPIN to complete the registration process. You will be taken to the UMANG homepage. Login using your Mobile Number and MPIN. Step 3: Accessing Services on UMANG In the tabs provided at the bottom of the page, click on the "All Services" tab. Select the service you want to apply for. You will be taken to the Online Application Form. Step 5: Completing the Application In the application form, fill in all the mandatory fields and upload all the required documents in the specified format and size. Step 6: Review and Confirmation Carefully review all the information provided and the documents uploaded. Make any necessary corrections, if required. Acknowledge and agree to the terms and conditions, declaration, and privacy policy, if any. Step 7: Submitting the Application Click the "Submit" or "Apply" button to submit your application. You'll receive a confirmation message upon successful submission of the application.</t>
  </si>
  <si>
    <t xml:space="preserve">v2q-009-candidate-08</t>
  </si>
  <si>
    <t xml:space="preserve">v2q-017-candidate-15</t>
  </si>
  <si>
    <t xml:space="preserve">v2q-026-candidate-13</t>
  </si>
  <si>
    <t xml:space="preserve">v2q-026</t>
  </si>
  <si>
    <t xml:space="preserve">What employment guarantee does MGNREGA provide, and which other programme from its ministry supplies pucca houses to rural households?</t>
  </si>
  <si>
    <t xml:space="preserve">MGNREGA guarantees at least 100 days of wage employment to qualifying rural households. PMAY-G, under the same Ministry of Rural Development, supports pucca houses with basic amenities for eligible rural households.</t>
  </si>
  <si>
    <t xml:space="preserve">v2q-014-candidate-07</t>
  </si>
  <si>
    <t xml:space="preserve">v2q-022-candidate-29</t>
  </si>
  <si>
    <t xml:space="preserve">pilot-v2-doc-mgnrega-0003-008750b5fc90</t>
  </si>
  <si>
    <t xml:space="preserve">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 must be made on behalf of the household by any adult member.. Individuals should also be given the option to make registration to apply for registration at other touch points such as Community Service Centre (CSC). The CSC operator will fill in the details in the application form and forward the filled application form to the concerned GP for necessary action. State Government will issue necessary enabling orders in this regard. Registrations shall be opened throughout the year at the Gram Panchayat (GP) office. Application for registration must be made on behalf of the household by any adult member.. One can download UMANG App or visit website https://web.umang.gov.in/webnew/home - The citizen can login using a mobile number and OTP. Once logged In, citizen can search for MGNREGA. Click on “Apply for Job Card” Fill in the basic details, choose the mode of payment of pension, upload photo and click on “Submit”.</t>
  </si>
  <si>
    <t xml:space="preserve">v2q-006-candidate-20</t>
  </si>
  <si>
    <t xml:space="preserve">pilot-v2-doc-pm-kisan-guidelines-0012-a77da98de388</t>
  </si>
  <si>
    <t xml:space="preserve">However,
      these attributes are not essential for purpose of transfer of money.
These attributes are illustrated on PM-KISAN Portal http://pmkisan.gov.in as
follows
                                         8
9.4   There are 3 ways through which a State / UT can onboard on the PM Kisan
Portal:
       (a)      If a State / UT has village / district wise list of farmers, they may upload
      the same in a pre-defined format and with the help of local NIC State Unit.
       (b)   Some existing data of farmers is already available on the PM-Kisan Portal
            which will be visible on selection of States / Districts / Village. States / UTs
            which do not have their own list may use this village-wise list of farmers as
             provided on the portal and edit the same to finalize the farmers’ list. For
               this the correction window  shall be available  at PM-Kisan  portal  for
             authorized users of District and Block officials.
        (c)       If States / UTs want to make fresh entry of a farmer, provision is there for
               registration of these farmers in a defined and standardized format.
9.5   Databases of Pradhan Mantri Fasal Bima Yojana (PMFBY), Soil Health Cards,
Socio Economic and Caste Census (SECC) can also be utilized for this purpose.
State/UT wise status of number of farmer records shall be available at http://pmkisan.gov.in.
9.6   Records preparation process through PM-KISAN Portal:
      1. State-admin and District-admin need to be  identified for creation of login
         credentials or approval of login credentials  in case of self-registration by
           District and Block / Tehsil / Taluka officials.
                                         9
STATE ADMIN
        DISTRICT ADMIN                 DISTRICT ADMIN                                                                       DISTRICT ADMIN
  BLOCK    BLOCK    BLOCK     BLOCK    BLOCK    BLOCK     BLOCK    BLOCK    BLOCK
  USER     USER     USER      USER     USER     USER      USER     USER     USER
      2. Farmers list as available on the portal shall be available at Block  / Tehsil  /
        Taluka level official’s login.
      3. Search</t>
  </si>
  <si>
    <t xml:space="preserve">v2q-026-candidate-16</t>
  </si>
  <si>
    <t xml:space="preserve">v2q-023-candidate-10</t>
  </si>
  <si>
    <t xml:space="preserve">v2q-007-candidate-07</t>
  </si>
  <si>
    <t xml:space="preserve">v2q-015-candidate-21</t>
  </si>
  <si>
    <t xml:space="preserve">pilot-v2-doc-mgnrega-0002-bbbce5f319d4</t>
  </si>
  <si>
    <t xml:space="preserve">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t>
  </si>
  <si>
    <t xml:space="preserve">v2q-010-candidate-01</t>
  </si>
  <si>
    <t xml:space="preserve">pilot-v2-doc-pmfby-0000-d9ad07736d66</t>
  </si>
  <si>
    <t xml:space="preserve">Pradhan Mantri Fasal Bima Yojna (PMFBY). Ministry Of Agriculture and Farmers Welfare. Launched on 18th February 2016, &amp;quot;Pradhan Mantri Fasal Bima Yojana&amp;quot;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 Pradhan Mantri Fasal Bima Yojana was launched in 2016 with the aim to support farmers by providing an affordable comprehensive risk cover for crops.. Affordable Premiums: The maximum premium payable by the farmer will be 2% for the Kharif food and oilseed crops. For rabi food and oilseeds crop, it is 1.5% and for yearly commercial or horticultural crops it will be 5%. The remaining premium is subsidized by the 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t>
  </si>
  <si>
    <t xml:space="preserve">v2q-010-candidate-20</t>
  </si>
  <si>
    <t xml:space="preserve">pilot-v2-doc-mgnrega-0000-7e6d80b47566</t>
  </si>
  <si>
    <t xml:space="preserve">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</si>
  <si>
    <t xml:space="preserve">v2q-008-candidate-06</t>
  </si>
  <si>
    <t xml:space="preserve">v2q-020-candidate-04</t>
  </si>
  <si>
    <t xml:space="preserve">v2q-025-candidate-04</t>
  </si>
  <si>
    <t xml:space="preserve">v2q-009-candidate-24</t>
  </si>
  <si>
    <t xml:space="preserve">v2q-028-candidate-05</t>
  </si>
  <si>
    <t xml:space="preserve">v2q-024-candidate-17</t>
  </si>
  <si>
    <t xml:space="preserve">v2q-015-candidate-14</t>
  </si>
  <si>
    <t xml:space="preserve">pilot-v2-doc-pmay-g-0000-d4162175877d</t>
  </si>
  <si>
    <t xml:space="preserve">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</si>
  <si>
    <t xml:space="preserve">v2q-034-candidate-10</t>
  </si>
  <si>
    <t xml:space="preserve">pilot-v2-doc-pmay-g-0005-c6e2fcfefcd0</t>
  </si>
  <si>
    <t xml:space="preserve">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 of pucca houses All households living in houses with pucca roofs and/or pucca walls and households living in houses with more than 2 rooms are filtered out. Step 2: Automatic Exclusion From the remaining set of households, all households fulfilling any one of the 13 parameters listed below are automatically excluded:- 1. Motorised two/three/four wheeler/ fishing boat 2. Mechanised three/four-wheeler agricultural equipment 3. Kisan Credit Card with a credit limit of Rs.50,000 or above 4. Household with any member as a Government employee 5. Households with non-agricultural enterprises registered with the Government 6. Any member of the family earning more than Rs.10,000 per month 7. Paying income tax 8. Paying professional tax 9. Own a refrigerator 10. Own a landline phone 11. Own 2.5 acres or more of irrigated land with at least one irrigation equipment 12. 5 acres or more of irrigated land for two or more crop seasons 13. Owning at least 7.5 acres of land or more with at least one irrigation equipment. Beneficiary Registration Manual - https://pmayg.nic.in/netiayHome/Document/Document-PMAYG-Registratio-Manual.pdf There are four sections to the beneficiary registration process: 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t>
  </si>
  <si>
    <t xml:space="preserve">v2q-027-candidate-13</t>
  </si>
  <si>
    <t xml:space="preserve">pilot-v2-doc-pm-kmy-guidelines-0002-ae644e1f8c00</t>
  </si>
  <si>
    <t xml:space="preserve">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 of 60 years;
(m)     “Pension” means Assured Monthly Amount payable as Pension under this
   Scheme to the eligible subscriber or his/her spouse ;
(n)  “Pension fund” or “Fund” means the fund created by the Central Government
   and managed by LIC of India in which the contributions made by the subscribers
   and the matching contributions made by the Government would be deposited.
   The Government Pool Account together with the Subscriber’s Individual Account
   (hereinafter called the “SIA”) shall constitute the Pension Fund under the scheme.
(o)  “Pradhan Mantri Kisan Samman Nidhi Scheme” or “PM-Kisan” means
   the Central Sector Scheme administered by the DACV&amp;FW for providing direct
   income support to the farmers.
(p) “Small and Marginal Farmer” or “SMF” means a farmer who owns cultivable
   land upto 2 hectare as per land records of the concerned State/UT”.
(q)  “Sponsor Bank” means bank nominated by the Corporation, presently the
   IDBI Bank, for providing banking services under the scheme.
(r)   “State Nodal Officers”  or “SNOs” means the  officers  of the State/UT
   Governments who are responsible for preparing the  list of farmers, including,
   SMFs under the 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t>
  </si>
  <si>
    <t xml:space="preserve">v2q-027-candidate-20</t>
  </si>
  <si>
    <t xml:space="preserve">pilot-v2-doc-ab-pmjay-0000-94c82a474579</t>
  </si>
  <si>
    <t xml:space="preserve">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</si>
  <si>
    <t xml:space="preserve">v2q-019-candidate-02</t>
  </si>
  <si>
    <t xml:space="preserve">v2q-013-candidate-17</t>
  </si>
  <si>
    <t xml:space="preserve">pilot-v2-doc-pmuy2-0001-065bd619e9c6</t>
  </si>
  <si>
    <t xml:space="preserve">Pradhan Mantri Ujjwala Yojana 2.0</t>
  </si>
  <si>
    <t xml:space="preserve">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 ₹25. Inspection/ Installation/ Demonstration charges – ₹75. Additionally, All PMUY beneficiaries will be provided with first LPG refill and Stove (hotplate) both free of cost along with their deposit-free connection by the Oil Marketing Companies (OMCs).. The applicant must be at least 18 years old. The applicant’s household must not have any existing LPG connection. The applicant woman must belong to any one of the eligible categories. SC Households ST Households Pradhan Mantri Awas Yojana (Gramin) Most Backward Classes Antyodaya Anna Yojana (AAY) Tea and Ex-Tea Garden tribes Forest Dwellers People residing on Islands and River Islands SECC Households (AHL TIN) Poor Household as per 14-point declaration. Step 1: You can download Forms from the official website (given below) or get them from the nearest LPG distributor. [KYC Form](https://www.pmuy.gov.in/documents/Supplementary%20KYC.pdf) Supplementary KYC Document &amp; Undertaking- ANNEXURE - I Self-declaration for Family Composition and Address for release of new connection under PMUY (for Migrant only)- ANNEXURE - II Mechanics Pre-Installation check of Customers Premises for LPG connection Step 2: Fill out the application form with the required information, including personal details, bank account information, and LPG distributor preference. Step 3: Attach the necessary documents along with the application form. The documents typically include proof of identity, proof of address, and proof of BPL category. Step 4: Submit the completed application form along with the supporting documents to the nearest LPG distributor.. Step 1: Apply online for Pradhan Mantri Ujjwala Yojana 2.0 from</t>
  </si>
  <si>
    <t xml:space="preserve">v2q-022-candidate-15</t>
  </si>
  <si>
    <t xml:space="preserve">v2q-025-candidate-08</t>
  </si>
  <si>
    <t xml:space="preserve">v2q-022-candidate-25</t>
  </si>
  <si>
    <t xml:space="preserve">v2q-007-candidate-10</t>
  </si>
  <si>
    <t xml:space="preserve">v2q-005-candidate-05</t>
  </si>
  <si>
    <t xml:space="preserve">v2q-026-candidate-07</t>
  </si>
  <si>
    <t xml:space="preserve">v2q-033-candidate-11</t>
  </si>
  <si>
    <t xml:space="preserve">v2q-030-candidate-06</t>
  </si>
  <si>
    <t xml:space="preserve">v2q-023-candidate-05</t>
  </si>
  <si>
    <t xml:space="preserve">pilot-v2-doc-pm-kisan-guidelines-0007-38a7fcb29c5d</t>
  </si>
  <si>
    <t xml:space="preserve">the  District. Provided  that  the name  of  the
       beneficiary is included in the state of Nagaland’s Agriculture Census of 2015-16.
      This proviso shall not be applicable in cases of succession and family partition.
                                         5
The  list  of such beneficiaries shall be subject to the exclusions under the
       operational guidelines.
5.6   For identification of bona fide beneficiary under PM-Kisan Scheme in Jharkhand,
the following proposal of Government of Jharkhand was considered and approved by
the Committee:
“The farmer will be asked to submit ‘Vanshavali (Lineage)’ linked to the entry of land
record comprising his \ her ancestor’s name giving a chart of successor. This lineage
chart shall be submitted before the Gram Sabha for calling objections. After approval of
the Gram Sabha, the  village  level  \  circle  level revenue  officials  will  verify and
authenticate the Vanshawali and possession of holding. This authenticated  list of
farmers after due verification of succession chart shall be countersigned by the District
level revenue  authority. Farmers’ names,  subject  to the exclusion  criterion  after
following the aforementioned process, shall be uploaded on the PM-Kisan portal along
with other required details for this disbursement of benefit under the scheme.”
6.    Strategy for Implementation
6.1   The States shall prepare database of eligible beneficiary land holder farmer
families in the villages capturing the Name, Age, Gender, Category (SC/ST), Aadhaar
Number, Bank  Account Number and  the  Mobile Number  of  the  beneficiaries.
Responsibility of identifying the land holder farmer family eligible for benefit under the
scheme shall be of the State  / UT Government. In case of beneficiaries in States of
Assam, Meghalaya, J&amp;K where Aadhaar number has not been issued to most of the
citizens, Aadhaar number shall be collected for those beneficiaries where it is available
and for others alternate prescribed documents such as Driving Licence, Voters’ ID Card,
NREGA</t>
  </si>
  <si>
    <t xml:space="preserve">v2q-031-candidate-14</t>
  </si>
  <si>
    <t xml:space="preserve">v2q-022-candidate-21</t>
  </si>
  <si>
    <t xml:space="preserve">v2q-012-candidate-18</t>
  </si>
  <si>
    <t xml:space="preserve">v2q-015-candidate-17</t>
  </si>
  <si>
    <t xml:space="preserve">v2q-004-candidate-19</t>
  </si>
  <si>
    <t xml:space="preserve">Phase 6 Second-Pass Blind Regrade</t>
  </si>
  <si>
    <t xml:space="preserve">Purpose</t>
  </si>
  <si>
    <t xml:space="preserve">Intra-rater agreement check on 114 randomly sampled rows (seed=123, stratified: 87 Grade-0, 13 Grade-1, 14 Grade-2). Grade each row independently — do NOT consult your original Phase 6 grades.</t>
  </si>
  <si>
    <t xml:space="preserve">Rubric</t>
  </si>
  <si>
    <t xml:space="preserve">  2</t>
  </si>
  <si>
    <t xml:space="preserve">Candidate chunk DIRECTLY supports the reference answer.</t>
  </si>
  <si>
    <t xml:space="preserve">  1</t>
  </si>
  <si>
    <t xml:space="preserve">Useful context but insufficient alone.</t>
  </si>
  <si>
    <t xml:space="preserve">  0</t>
  </si>
  <si>
    <t xml:space="preserve">Irrelevant or misleading.</t>
  </si>
  <si>
    <t xml:space="preserve">  U</t>
  </si>
  <si>
    <t xml:space="preserve">Unclear — requires adjudication.</t>
  </si>
  <si>
    <t xml:space="preserve">Steps</t>
  </si>
  <si>
    <t xml:space="preserve">Read the question and reference answer in columns C and D.</t>
  </si>
  <si>
    <t xml:space="preserve">Read the candidate chunk in column G.</t>
  </si>
  <si>
    <t xml:space="preserve">  3</t>
  </si>
  <si>
    <t xml:space="preserve">Enter your grade (2/1/0/U) in column H (yellow cells, dropdown).</t>
  </si>
  <si>
    <t xml:space="preserve">  4</t>
  </si>
  <si>
    <t xml:space="preserve">Add a brief rationale in column I for any grade that is not 0.</t>
  </si>
  <si>
    <t xml:space="preserve">  5</t>
  </si>
  <si>
    <t xml:space="preserve">Do not look up your Phase 6 first-pass grade until all 114 rows are done.</t>
  </si>
  <si>
    <t xml:space="preserve">  6</t>
  </si>
  <si>
    <t xml:space="preserve">Return this workbook when complete.</t>
  </si>
  <si>
    <t xml:space="preserve">Integrity</t>
  </si>
  <si>
    <t xml:space="preserve">Same evidence standard as Phase 6. Same-document membership is not evidence of relevance. Grade only from the candidate chunk text.</t>
  </si>
  <si>
    <t xml:space="preserve">Sealed provenance</t>
  </si>
  <si>
    <t xml:space="preserve">regrade_provenance_sealed.json holds first-pass grades and must NOT be opened until grading is complete.</t>
  </si>
  <si>
    <t xml:space="preserve">Second-Pass Regrade Progress</t>
  </si>
  <si>
    <t xml:space="preserve">Total pairs</t>
  </si>
  <si>
    <t xml:space="preserve">Graded (formula)</t>
  </si>
  <si>
    <t xml:space="preserve">Remaining</t>
  </si>
  <si>
    <t xml:space="preserve">Completion</t>
  </si>
  <si>
    <t xml:space="preserve">Grade 2 count</t>
  </si>
  <si>
    <t xml:space="preserve">Grade 1 count</t>
  </si>
  <si>
    <t xml:space="preserve">Grade 0 count</t>
  </si>
  <si>
    <t xml:space="preserve">Grade U count</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</si>
</sst>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10"/>
      <color rgb="FF0000FF"/>
      <name val="Arial"/>
      <family val="0"/>
      <charset val="1"/>
    </font>
    <font>
      <b val="true"/>
      <sz val="13"/>
      <name val="Arial"/>
      <family val="0"/>
      <charset val="1"/>
    </font>
    <font>
      <sz val="10"/>
      <name val="Arial"/>
      <family val="0"/>
      <charset val="1"/>
    </font>
    <font>
      <b val="true"/>
      <sz val="10"/>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EBF3FB"/>
        <bgColor rgb="FFFFFFFF"/>
      </patternFill>
    </fill>
    <fill>
      <patternFill patternType="solid">
        <fgColor rgb="FFFFF2CC"/>
        <bgColor rgb="FFEBF3F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4" min="3" style="0" width="55"/>
    <col collapsed="false" customWidth="true" hidden="false" outlineLevel="0" max="6" min="5" style="0" width="38"/>
    <col collapsed="false" customWidth="true" hidden="false" outlineLevel="0" max="7" min="7" style="0" width="80"/>
    <col collapsed="false" customWidth="true" hidden="false" outlineLevel="0" max="8" min="8" style="0" width="16"/>
    <col collapsed="false" customWidth="true" hidden="false" outlineLevel="0" max="9" min="9" style="0" width="50"/>
  </cols>
  <sheetData>
    <row r="1" customFormat="false" ht="19.5" hidden="false" customHeight="true" outlineLevel="0" collapsed="false">
      <c r="A1" s="1" t="s">
        <v>0</v>
      </c>
      <c r="B1" s="1" t="s">
        <v>1</v>
      </c>
      <c r="C1" s="1" t="s">
        <v>2</v>
      </c>
      <c r="D1" s="1" t="s">
        <v>3</v>
      </c>
      <c r="E1" s="1" t="s">
        <v>4</v>
      </c>
      <c r="F1" s="1" t="s">
        <v>5</v>
      </c>
      <c r="G1" s="1" t="s">
        <v>6</v>
      </c>
      <c r="H1" s="1" t="s">
        <v>7</v>
      </c>
      <c r="I1" s="1" t="s">
        <v>8</v>
      </c>
    </row>
    <row r="2" customFormat="false" ht="72" hidden="false" customHeight="true" outlineLevel="0" collapsed="false">
      <c r="A2" s="2" t="s">
        <v>9</v>
      </c>
      <c r="B2" s="2" t="s">
        <v>10</v>
      </c>
      <c r="C2" s="3" t="s">
        <v>11</v>
      </c>
      <c r="D2" s="3" t="s">
        <v>12</v>
      </c>
      <c r="E2" s="3" t="s">
        <v>13</v>
      </c>
      <c r="F2" s="3" t="s">
        <v>14</v>
      </c>
      <c r="G2" s="3" t="s">
        <v>15</v>
      </c>
      <c r="H2" s="4"/>
      <c r="I2" s="3"/>
    </row>
    <row r="3" customFormat="false" ht="72" hidden="false" customHeight="true" outlineLevel="0" collapsed="false">
      <c r="A3" s="5" t="s">
        <v>16</v>
      </c>
      <c r="B3" s="5" t="s">
        <v>17</v>
      </c>
      <c r="C3" s="6" t="s">
        <v>18</v>
      </c>
      <c r="D3" s="6" t="s">
        <v>19</v>
      </c>
      <c r="E3" s="6" t="s">
        <v>20</v>
      </c>
      <c r="F3" s="6" t="s">
        <v>21</v>
      </c>
      <c r="G3" s="6" t="s">
        <v>22</v>
      </c>
      <c r="H3" s="4"/>
      <c r="I3" s="6"/>
    </row>
    <row r="4" customFormat="false" ht="72" hidden="false" customHeight="true" outlineLevel="0" collapsed="false">
      <c r="A4" s="2" t="s">
        <v>23</v>
      </c>
      <c r="B4" s="2" t="s">
        <v>24</v>
      </c>
      <c r="C4" s="3" t="s">
        <v>25</v>
      </c>
      <c r="D4" s="3" t="s">
        <v>26</v>
      </c>
      <c r="E4" s="3" t="s">
        <v>27</v>
      </c>
      <c r="F4" s="3" t="s">
        <v>28</v>
      </c>
      <c r="G4" s="3" t="s">
        <v>29</v>
      </c>
      <c r="H4" s="4"/>
      <c r="I4" s="3"/>
    </row>
    <row r="5" customFormat="false" ht="72" hidden="false" customHeight="true" outlineLevel="0" collapsed="false">
      <c r="A5" s="5" t="s">
        <v>30</v>
      </c>
      <c r="B5" s="5" t="s">
        <v>31</v>
      </c>
      <c r="C5" s="6" t="s">
        <v>32</v>
      </c>
      <c r="D5" s="6" t="s">
        <v>33</v>
      </c>
      <c r="E5" s="6" t="s">
        <v>34</v>
      </c>
      <c r="F5" s="6" t="s">
        <v>35</v>
      </c>
      <c r="G5" s="6" t="s">
        <v>36</v>
      </c>
      <c r="H5" s="4"/>
      <c r="I5" s="6"/>
    </row>
    <row r="6" customFormat="false" ht="72" hidden="false" customHeight="true" outlineLevel="0" collapsed="false">
      <c r="A6" s="2" t="s">
        <v>37</v>
      </c>
      <c r="B6" s="2" t="s">
        <v>38</v>
      </c>
      <c r="C6" s="3" t="s">
        <v>39</v>
      </c>
      <c r="D6" s="3" t="s">
        <v>40</v>
      </c>
      <c r="E6" s="3" t="s">
        <v>41</v>
      </c>
      <c r="F6" s="3" t="s">
        <v>42</v>
      </c>
      <c r="G6" s="3" t="s">
        <v>43</v>
      </c>
      <c r="H6" s="4"/>
      <c r="I6" s="3"/>
    </row>
    <row r="7" customFormat="false" ht="72" hidden="false" customHeight="true" outlineLevel="0" collapsed="false">
      <c r="A7" s="5" t="s">
        <v>44</v>
      </c>
      <c r="B7" s="5" t="s">
        <v>45</v>
      </c>
      <c r="C7" s="6" t="s">
        <v>46</v>
      </c>
      <c r="D7" s="6" t="s">
        <v>47</v>
      </c>
      <c r="E7" s="6" t="s">
        <v>48</v>
      </c>
      <c r="F7" s="6" t="s">
        <v>49</v>
      </c>
      <c r="G7" s="6" t="s">
        <v>50</v>
      </c>
      <c r="H7" s="4"/>
      <c r="I7" s="6"/>
    </row>
    <row r="8" customFormat="false" ht="72" hidden="false" customHeight="true" outlineLevel="0" collapsed="false">
      <c r="A8" s="2" t="s">
        <v>51</v>
      </c>
      <c r="B8" s="2" t="s">
        <v>52</v>
      </c>
      <c r="C8" s="3" t="s">
        <v>53</v>
      </c>
      <c r="D8" s="3" t="s">
        <v>54</v>
      </c>
      <c r="E8" s="3" t="s">
        <v>48</v>
      </c>
      <c r="F8" s="3" t="s">
        <v>49</v>
      </c>
      <c r="G8" s="3" t="s">
        <v>50</v>
      </c>
      <c r="H8" s="4"/>
      <c r="I8" s="3"/>
    </row>
    <row r="9" customFormat="false" ht="72" hidden="false" customHeight="true" outlineLevel="0" collapsed="false">
      <c r="A9" s="5" t="s">
        <v>55</v>
      </c>
      <c r="B9" s="5" t="s">
        <v>24</v>
      </c>
      <c r="C9" s="6" t="s">
        <v>25</v>
      </c>
      <c r="D9" s="6" t="s">
        <v>26</v>
      </c>
      <c r="E9" s="6" t="s">
        <v>56</v>
      </c>
      <c r="F9" s="6" t="s">
        <v>28</v>
      </c>
      <c r="G9" s="6" t="s">
        <v>57</v>
      </c>
      <c r="H9" s="4"/>
      <c r="I9" s="6"/>
    </row>
    <row r="10" customFormat="false" ht="72" hidden="false" customHeight="true" outlineLevel="0" collapsed="false">
      <c r="A10" s="2" t="s">
        <v>58</v>
      </c>
      <c r="B10" s="2" t="s">
        <v>59</v>
      </c>
      <c r="C10" s="3" t="s">
        <v>60</v>
      </c>
      <c r="D10" s="3" t="s">
        <v>61</v>
      </c>
      <c r="E10" s="3" t="s">
        <v>62</v>
      </c>
      <c r="F10" s="3" t="s">
        <v>63</v>
      </c>
      <c r="G10" s="3" t="s">
        <v>64</v>
      </c>
      <c r="H10" s="4"/>
      <c r="I10" s="3"/>
    </row>
    <row r="11" customFormat="false" ht="72" hidden="false" customHeight="true" outlineLevel="0" collapsed="false">
      <c r="A11" s="5" t="s">
        <v>65</v>
      </c>
      <c r="B11" s="5" t="s">
        <v>66</v>
      </c>
      <c r="C11" s="6" t="s">
        <v>67</v>
      </c>
      <c r="D11" s="6" t="s">
        <v>68</v>
      </c>
      <c r="E11" s="6" t="s">
        <v>69</v>
      </c>
      <c r="F11" s="6" t="s">
        <v>14</v>
      </c>
      <c r="G11" s="6" t="s">
        <v>70</v>
      </c>
      <c r="H11" s="4"/>
      <c r="I11" s="6"/>
    </row>
    <row r="12" customFormat="false" ht="72" hidden="false" customHeight="true" outlineLevel="0" collapsed="false">
      <c r="A12" s="2" t="s">
        <v>71</v>
      </c>
      <c r="B12" s="2" t="s">
        <v>17</v>
      </c>
      <c r="C12" s="3" t="s">
        <v>18</v>
      </c>
      <c r="D12" s="3" t="s">
        <v>19</v>
      </c>
      <c r="E12" s="3" t="s">
        <v>72</v>
      </c>
      <c r="F12" s="3" t="s">
        <v>73</v>
      </c>
      <c r="G12" s="3" t="s">
        <v>74</v>
      </c>
      <c r="H12" s="4"/>
      <c r="I12" s="3"/>
    </row>
    <row r="13" customFormat="false" ht="72" hidden="false" customHeight="true" outlineLevel="0" collapsed="false">
      <c r="A13" s="5" t="s">
        <v>75</v>
      </c>
      <c r="B13" s="5" t="s">
        <v>76</v>
      </c>
      <c r="C13" s="6" t="s">
        <v>77</v>
      </c>
      <c r="D13" s="6" t="s">
        <v>78</v>
      </c>
      <c r="E13" s="6" t="s">
        <v>79</v>
      </c>
      <c r="F13" s="6" t="s">
        <v>80</v>
      </c>
      <c r="G13" s="6" t="s">
        <v>81</v>
      </c>
      <c r="H13" s="4"/>
      <c r="I13" s="6"/>
    </row>
    <row r="14" customFormat="false" ht="72" hidden="false" customHeight="true" outlineLevel="0" collapsed="false">
      <c r="A14" s="2" t="s">
        <v>82</v>
      </c>
      <c r="B14" s="2" t="s">
        <v>83</v>
      </c>
      <c r="C14" s="3" t="s">
        <v>84</v>
      </c>
      <c r="D14" s="3" t="s">
        <v>85</v>
      </c>
      <c r="E14" s="3" t="s">
        <v>86</v>
      </c>
      <c r="F14" s="3" t="s">
        <v>87</v>
      </c>
      <c r="G14" s="3" t="s">
        <v>88</v>
      </c>
      <c r="H14" s="4"/>
      <c r="I14" s="3"/>
    </row>
    <row r="15" customFormat="false" ht="72" hidden="false" customHeight="true" outlineLevel="0" collapsed="false">
      <c r="A15" s="5" t="s">
        <v>89</v>
      </c>
      <c r="B15" s="5" t="s">
        <v>76</v>
      </c>
      <c r="C15" s="6" t="s">
        <v>77</v>
      </c>
      <c r="D15" s="6" t="s">
        <v>78</v>
      </c>
      <c r="E15" s="6" t="s">
        <v>90</v>
      </c>
      <c r="F15" s="6" t="s">
        <v>80</v>
      </c>
      <c r="G15" s="6" t="s">
        <v>91</v>
      </c>
      <c r="H15" s="4"/>
      <c r="I15" s="6"/>
    </row>
    <row r="16" customFormat="false" ht="72" hidden="false" customHeight="true" outlineLevel="0" collapsed="false">
      <c r="A16" s="2" t="s">
        <v>92</v>
      </c>
      <c r="B16" s="2" t="s">
        <v>93</v>
      </c>
      <c r="C16" s="3" t="s">
        <v>94</v>
      </c>
      <c r="D16" s="3" t="s">
        <v>95</v>
      </c>
      <c r="E16" s="3" t="s">
        <v>96</v>
      </c>
      <c r="F16" s="3" t="s">
        <v>97</v>
      </c>
      <c r="G16" s="3" t="s">
        <v>98</v>
      </c>
      <c r="H16" s="4"/>
      <c r="I16" s="3"/>
    </row>
    <row r="17" customFormat="false" ht="72" hidden="false" customHeight="true" outlineLevel="0" collapsed="false">
      <c r="A17" s="5" t="s">
        <v>99</v>
      </c>
      <c r="B17" s="5" t="s">
        <v>100</v>
      </c>
      <c r="C17" s="6" t="s">
        <v>101</v>
      </c>
      <c r="D17" s="6" t="s">
        <v>102</v>
      </c>
      <c r="E17" s="6" t="s">
        <v>103</v>
      </c>
      <c r="F17" s="6" t="s">
        <v>104</v>
      </c>
      <c r="G17" s="6" t="s">
        <v>105</v>
      </c>
      <c r="H17" s="4"/>
      <c r="I17" s="6"/>
    </row>
    <row r="18" customFormat="false" ht="72" hidden="false" customHeight="true" outlineLevel="0" collapsed="false">
      <c r="A18" s="2" t="s">
        <v>106</v>
      </c>
      <c r="B18" s="2" t="s">
        <v>107</v>
      </c>
      <c r="C18" s="3" t="s">
        <v>108</v>
      </c>
      <c r="D18" s="3" t="s">
        <v>109</v>
      </c>
      <c r="E18" s="3" t="s">
        <v>110</v>
      </c>
      <c r="F18" s="3" t="s">
        <v>111</v>
      </c>
      <c r="G18" s="3" t="s">
        <v>112</v>
      </c>
      <c r="H18" s="4"/>
      <c r="I18" s="3"/>
    </row>
    <row r="19" customFormat="false" ht="72" hidden="false" customHeight="true" outlineLevel="0" collapsed="false">
      <c r="A19" s="5" t="s">
        <v>113</v>
      </c>
      <c r="B19" s="5" t="s">
        <v>10</v>
      </c>
      <c r="C19" s="6" t="s">
        <v>11</v>
      </c>
      <c r="D19" s="6" t="s">
        <v>12</v>
      </c>
      <c r="E19" s="6" t="s">
        <v>114</v>
      </c>
      <c r="F19" s="6" t="s">
        <v>87</v>
      </c>
      <c r="G19" s="6" t="s">
        <v>115</v>
      </c>
      <c r="H19" s="4"/>
      <c r="I19" s="6"/>
    </row>
    <row r="20" customFormat="false" ht="72" hidden="false" customHeight="true" outlineLevel="0" collapsed="false">
      <c r="A20" s="2" t="s">
        <v>116</v>
      </c>
      <c r="B20" s="2" t="s">
        <v>59</v>
      </c>
      <c r="C20" s="3" t="s">
        <v>60</v>
      </c>
      <c r="D20" s="3" t="s">
        <v>61</v>
      </c>
      <c r="E20" s="3" t="s">
        <v>117</v>
      </c>
      <c r="F20" s="3" t="s">
        <v>118</v>
      </c>
      <c r="G20" s="3" t="s">
        <v>119</v>
      </c>
      <c r="H20" s="4"/>
      <c r="I20" s="3"/>
    </row>
    <row r="21" customFormat="false" ht="72" hidden="false" customHeight="true" outlineLevel="0" collapsed="false">
      <c r="A21" s="5" t="s">
        <v>120</v>
      </c>
      <c r="B21" s="5" t="s">
        <v>121</v>
      </c>
      <c r="C21" s="6" t="s">
        <v>122</v>
      </c>
      <c r="D21" s="6" t="s">
        <v>123</v>
      </c>
      <c r="E21" s="6" t="s">
        <v>124</v>
      </c>
      <c r="F21" s="6" t="s">
        <v>111</v>
      </c>
      <c r="G21" s="6" t="s">
        <v>125</v>
      </c>
      <c r="H21" s="4"/>
      <c r="I21" s="6"/>
    </row>
    <row r="22" customFormat="false" ht="72" hidden="false" customHeight="true" outlineLevel="0" collapsed="false">
      <c r="A22" s="2" t="s">
        <v>126</v>
      </c>
      <c r="B22" s="2" t="s">
        <v>127</v>
      </c>
      <c r="C22" s="3" t="s">
        <v>128</v>
      </c>
      <c r="D22" s="3" t="s">
        <v>129</v>
      </c>
      <c r="E22" s="3" t="s">
        <v>62</v>
      </c>
      <c r="F22" s="3" t="s">
        <v>63</v>
      </c>
      <c r="G22" s="3" t="s">
        <v>64</v>
      </c>
      <c r="H22" s="4"/>
      <c r="I22" s="3"/>
    </row>
    <row r="23" customFormat="false" ht="72" hidden="false" customHeight="true" outlineLevel="0" collapsed="false">
      <c r="A23" s="5" t="s">
        <v>130</v>
      </c>
      <c r="B23" s="5" t="s">
        <v>131</v>
      </c>
      <c r="C23" s="6" t="s">
        <v>132</v>
      </c>
      <c r="D23" s="6" t="s">
        <v>133</v>
      </c>
      <c r="E23" s="6" t="s">
        <v>134</v>
      </c>
      <c r="F23" s="6" t="s">
        <v>135</v>
      </c>
      <c r="G23" s="6" t="s">
        <v>136</v>
      </c>
      <c r="H23" s="4"/>
      <c r="I23" s="6"/>
    </row>
    <row r="24" customFormat="false" ht="72" hidden="false" customHeight="true" outlineLevel="0" collapsed="false">
      <c r="A24" s="2" t="s">
        <v>137</v>
      </c>
      <c r="B24" s="2" t="s">
        <v>31</v>
      </c>
      <c r="C24" s="3" t="s">
        <v>32</v>
      </c>
      <c r="D24" s="3" t="s">
        <v>33</v>
      </c>
      <c r="E24" s="3" t="s">
        <v>138</v>
      </c>
      <c r="F24" s="3" t="s">
        <v>135</v>
      </c>
      <c r="G24" s="3" t="s">
        <v>139</v>
      </c>
      <c r="H24" s="4"/>
      <c r="I24" s="3"/>
    </row>
    <row r="25" customFormat="false" ht="72" hidden="false" customHeight="true" outlineLevel="0" collapsed="false">
      <c r="A25" s="5" t="s">
        <v>140</v>
      </c>
      <c r="B25" s="5" t="s">
        <v>17</v>
      </c>
      <c r="C25" s="6" t="s">
        <v>18</v>
      </c>
      <c r="D25" s="6" t="s">
        <v>19</v>
      </c>
      <c r="E25" s="6" t="s">
        <v>141</v>
      </c>
      <c r="F25" s="6" t="s">
        <v>42</v>
      </c>
      <c r="G25" s="6" t="s">
        <v>142</v>
      </c>
      <c r="H25" s="4"/>
      <c r="I25" s="6"/>
    </row>
    <row r="26" customFormat="false" ht="72" hidden="false" customHeight="true" outlineLevel="0" collapsed="false">
      <c r="A26" s="2" t="s">
        <v>143</v>
      </c>
      <c r="B26" s="2" t="s">
        <v>38</v>
      </c>
      <c r="C26" s="3" t="s">
        <v>39</v>
      </c>
      <c r="D26" s="3" t="s">
        <v>40</v>
      </c>
      <c r="E26" s="3" t="s">
        <v>144</v>
      </c>
      <c r="F26" s="3" t="s">
        <v>87</v>
      </c>
      <c r="G26" s="3" t="s">
        <v>145</v>
      </c>
      <c r="H26" s="4"/>
      <c r="I26" s="3"/>
    </row>
    <row r="27" customFormat="false" ht="72" hidden="false" customHeight="true" outlineLevel="0" collapsed="false">
      <c r="A27" s="5" t="s">
        <v>146</v>
      </c>
      <c r="B27" s="5" t="s">
        <v>147</v>
      </c>
      <c r="C27" s="6" t="s">
        <v>148</v>
      </c>
      <c r="D27" s="6" t="s">
        <v>149</v>
      </c>
      <c r="E27" s="6" t="s">
        <v>150</v>
      </c>
      <c r="F27" s="6" t="s">
        <v>21</v>
      </c>
      <c r="G27" s="6" t="s">
        <v>151</v>
      </c>
      <c r="H27" s="4"/>
      <c r="I27" s="6"/>
    </row>
    <row r="28" customFormat="false" ht="72" hidden="false" customHeight="true" outlineLevel="0" collapsed="false">
      <c r="A28" s="2" t="s">
        <v>152</v>
      </c>
      <c r="B28" s="2" t="s">
        <v>127</v>
      </c>
      <c r="C28" s="3" t="s">
        <v>128</v>
      </c>
      <c r="D28" s="3" t="s">
        <v>129</v>
      </c>
      <c r="E28" s="3" t="s">
        <v>13</v>
      </c>
      <c r="F28" s="3" t="s">
        <v>14</v>
      </c>
      <c r="G28" s="3" t="s">
        <v>15</v>
      </c>
      <c r="H28" s="4"/>
      <c r="I28" s="3"/>
    </row>
    <row r="29" customFormat="false" ht="72" hidden="false" customHeight="true" outlineLevel="0" collapsed="false">
      <c r="A29" s="5" t="s">
        <v>153</v>
      </c>
      <c r="B29" s="5" t="s">
        <v>24</v>
      </c>
      <c r="C29" s="6" t="s">
        <v>25</v>
      </c>
      <c r="D29" s="6" t="s">
        <v>26</v>
      </c>
      <c r="E29" s="6" t="s">
        <v>154</v>
      </c>
      <c r="F29" s="6" t="s">
        <v>155</v>
      </c>
      <c r="G29" s="6" t="s">
        <v>156</v>
      </c>
      <c r="H29" s="4"/>
      <c r="I29" s="6"/>
    </row>
    <row r="30" customFormat="false" ht="72" hidden="false" customHeight="true" outlineLevel="0" collapsed="false">
      <c r="A30" s="2" t="s">
        <v>157</v>
      </c>
      <c r="B30" s="2" t="s">
        <v>38</v>
      </c>
      <c r="C30" s="3" t="s">
        <v>39</v>
      </c>
      <c r="D30" s="3" t="s">
        <v>40</v>
      </c>
      <c r="E30" s="3" t="s">
        <v>158</v>
      </c>
      <c r="F30" s="3" t="s">
        <v>21</v>
      </c>
      <c r="G30" s="3" t="s">
        <v>159</v>
      </c>
      <c r="H30" s="4"/>
      <c r="I30" s="3"/>
    </row>
    <row r="31" customFormat="false" ht="72" hidden="false" customHeight="true" outlineLevel="0" collapsed="false">
      <c r="A31" s="5" t="s">
        <v>160</v>
      </c>
      <c r="B31" s="5" t="s">
        <v>107</v>
      </c>
      <c r="C31" s="6" t="s">
        <v>108</v>
      </c>
      <c r="D31" s="6" t="s">
        <v>109</v>
      </c>
      <c r="E31" s="6" t="s">
        <v>161</v>
      </c>
      <c r="F31" s="6" t="s">
        <v>97</v>
      </c>
      <c r="G31" s="6" t="s">
        <v>162</v>
      </c>
      <c r="H31" s="4"/>
      <c r="I31" s="6"/>
    </row>
    <row r="32" customFormat="false" ht="72" hidden="false" customHeight="true" outlineLevel="0" collapsed="false">
      <c r="A32" s="2" t="s">
        <v>163</v>
      </c>
      <c r="B32" s="2" t="s">
        <v>164</v>
      </c>
      <c r="C32" s="3" t="s">
        <v>165</v>
      </c>
      <c r="D32" s="3" t="s">
        <v>166</v>
      </c>
      <c r="E32" s="3" t="s">
        <v>167</v>
      </c>
      <c r="F32" s="3" t="s">
        <v>168</v>
      </c>
      <c r="G32" s="3" t="s">
        <v>169</v>
      </c>
      <c r="H32" s="4"/>
      <c r="I32" s="3"/>
    </row>
    <row r="33" customFormat="false" ht="72" hidden="false" customHeight="true" outlineLevel="0" collapsed="false">
      <c r="A33" s="5" t="s">
        <v>170</v>
      </c>
      <c r="B33" s="5" t="s">
        <v>171</v>
      </c>
      <c r="C33" s="6" t="s">
        <v>172</v>
      </c>
      <c r="D33" s="6" t="s">
        <v>173</v>
      </c>
      <c r="E33" s="6" t="s">
        <v>174</v>
      </c>
      <c r="F33" s="6" t="s">
        <v>87</v>
      </c>
      <c r="G33" s="6" t="s">
        <v>175</v>
      </c>
      <c r="H33" s="4"/>
      <c r="I33" s="6"/>
    </row>
    <row r="34" customFormat="false" ht="72" hidden="false" customHeight="true" outlineLevel="0" collapsed="false">
      <c r="A34" s="2" t="s">
        <v>176</v>
      </c>
      <c r="B34" s="2" t="s">
        <v>45</v>
      </c>
      <c r="C34" s="3" t="s">
        <v>46</v>
      </c>
      <c r="D34" s="3" t="s">
        <v>47</v>
      </c>
      <c r="E34" s="3" t="s">
        <v>177</v>
      </c>
      <c r="F34" s="3" t="s">
        <v>111</v>
      </c>
      <c r="G34" s="3" t="s">
        <v>178</v>
      </c>
      <c r="H34" s="4"/>
      <c r="I34" s="3"/>
    </row>
    <row r="35" customFormat="false" ht="72" hidden="false" customHeight="true" outlineLevel="0" collapsed="false">
      <c r="A35" s="5" t="s">
        <v>179</v>
      </c>
      <c r="B35" s="5" t="s">
        <v>127</v>
      </c>
      <c r="C35" s="6" t="s">
        <v>128</v>
      </c>
      <c r="D35" s="6" t="s">
        <v>129</v>
      </c>
      <c r="E35" s="6" t="s">
        <v>180</v>
      </c>
      <c r="F35" s="6" t="s">
        <v>135</v>
      </c>
      <c r="G35" s="6" t="s">
        <v>181</v>
      </c>
      <c r="H35" s="4"/>
      <c r="I35" s="6"/>
    </row>
    <row r="36" customFormat="false" ht="72" hidden="false" customHeight="true" outlineLevel="0" collapsed="false">
      <c r="A36" s="2" t="s">
        <v>182</v>
      </c>
      <c r="B36" s="2" t="s">
        <v>183</v>
      </c>
      <c r="C36" s="3" t="s">
        <v>184</v>
      </c>
      <c r="D36" s="3" t="s">
        <v>185</v>
      </c>
      <c r="E36" s="3" t="s">
        <v>186</v>
      </c>
      <c r="F36" s="3" t="s">
        <v>63</v>
      </c>
      <c r="G36" s="3" t="s">
        <v>187</v>
      </c>
      <c r="H36" s="4"/>
      <c r="I36" s="3"/>
    </row>
    <row r="37" customFormat="false" ht="72" hidden="false" customHeight="true" outlineLevel="0" collapsed="false">
      <c r="A37" s="5" t="s">
        <v>188</v>
      </c>
      <c r="B37" s="5" t="s">
        <v>59</v>
      </c>
      <c r="C37" s="6" t="s">
        <v>60</v>
      </c>
      <c r="D37" s="6" t="s">
        <v>61</v>
      </c>
      <c r="E37" s="6" t="s">
        <v>189</v>
      </c>
      <c r="F37" s="6" t="s">
        <v>28</v>
      </c>
      <c r="G37" s="6" t="s">
        <v>190</v>
      </c>
      <c r="H37" s="4"/>
      <c r="I37" s="6"/>
    </row>
    <row r="38" customFormat="false" ht="72" hidden="false" customHeight="true" outlineLevel="0" collapsed="false">
      <c r="A38" s="2" t="s">
        <v>191</v>
      </c>
      <c r="B38" s="2" t="s">
        <v>192</v>
      </c>
      <c r="C38" s="3" t="s">
        <v>193</v>
      </c>
      <c r="D38" s="3" t="s">
        <v>194</v>
      </c>
      <c r="E38" s="3" t="s">
        <v>195</v>
      </c>
      <c r="F38" s="3" t="s">
        <v>87</v>
      </c>
      <c r="G38" s="3" t="s">
        <v>196</v>
      </c>
      <c r="H38" s="4"/>
      <c r="I38" s="3"/>
    </row>
    <row r="39" customFormat="false" ht="72" hidden="false" customHeight="true" outlineLevel="0" collapsed="false">
      <c r="A39" s="5" t="s">
        <v>197</v>
      </c>
      <c r="B39" s="5" t="s">
        <v>198</v>
      </c>
      <c r="C39" s="6" t="s">
        <v>199</v>
      </c>
      <c r="D39" s="6" t="s">
        <v>200</v>
      </c>
      <c r="E39" s="6" t="s">
        <v>201</v>
      </c>
      <c r="F39" s="6" t="s">
        <v>202</v>
      </c>
      <c r="G39" s="6" t="s">
        <v>203</v>
      </c>
      <c r="H39" s="4"/>
      <c r="I39" s="6"/>
    </row>
    <row r="40" customFormat="false" ht="72" hidden="false" customHeight="true" outlineLevel="0" collapsed="false">
      <c r="A40" s="2" t="s">
        <v>204</v>
      </c>
      <c r="B40" s="2" t="s">
        <v>205</v>
      </c>
      <c r="C40" s="3" t="s">
        <v>206</v>
      </c>
      <c r="D40" s="3" t="s">
        <v>207</v>
      </c>
      <c r="E40" s="3" t="s">
        <v>208</v>
      </c>
      <c r="F40" s="3" t="s">
        <v>42</v>
      </c>
      <c r="G40" s="3" t="s">
        <v>209</v>
      </c>
      <c r="H40" s="4"/>
      <c r="I40" s="3"/>
    </row>
    <row r="41" customFormat="false" ht="72" hidden="false" customHeight="true" outlineLevel="0" collapsed="false">
      <c r="A41" s="5" t="s">
        <v>210</v>
      </c>
      <c r="B41" s="5" t="s">
        <v>83</v>
      </c>
      <c r="C41" s="6" t="s">
        <v>84</v>
      </c>
      <c r="D41" s="6" t="s">
        <v>85</v>
      </c>
      <c r="E41" s="6" t="s">
        <v>211</v>
      </c>
      <c r="F41" s="6" t="s">
        <v>87</v>
      </c>
      <c r="G41" s="6" t="s">
        <v>212</v>
      </c>
      <c r="H41" s="4"/>
      <c r="I41" s="6"/>
    </row>
    <row r="42" customFormat="false" ht="72" hidden="false" customHeight="true" outlineLevel="0" collapsed="false">
      <c r="A42" s="2" t="s">
        <v>213</v>
      </c>
      <c r="B42" s="2" t="s">
        <v>214</v>
      </c>
      <c r="C42" s="3" t="s">
        <v>215</v>
      </c>
      <c r="D42" s="3" t="s">
        <v>216</v>
      </c>
      <c r="E42" s="3" t="s">
        <v>20</v>
      </c>
      <c r="F42" s="3" t="s">
        <v>21</v>
      </c>
      <c r="G42" s="3" t="s">
        <v>22</v>
      </c>
      <c r="H42" s="4"/>
      <c r="I42" s="3"/>
    </row>
    <row r="43" customFormat="false" ht="72" hidden="false" customHeight="true" outlineLevel="0" collapsed="false">
      <c r="A43" s="5" t="s">
        <v>217</v>
      </c>
      <c r="B43" s="5" t="s">
        <v>38</v>
      </c>
      <c r="C43" s="6" t="s">
        <v>39</v>
      </c>
      <c r="D43" s="6" t="s">
        <v>40</v>
      </c>
      <c r="E43" s="6" t="s">
        <v>218</v>
      </c>
      <c r="F43" s="6" t="s">
        <v>168</v>
      </c>
      <c r="G43" s="6" t="s">
        <v>219</v>
      </c>
      <c r="H43" s="4"/>
      <c r="I43" s="6"/>
    </row>
    <row r="44" customFormat="false" ht="72" hidden="false" customHeight="true" outlineLevel="0" collapsed="false">
      <c r="A44" s="2" t="s">
        <v>220</v>
      </c>
      <c r="B44" s="2" t="s">
        <v>221</v>
      </c>
      <c r="C44" s="3" t="s">
        <v>222</v>
      </c>
      <c r="D44" s="3" t="s">
        <v>223</v>
      </c>
      <c r="E44" s="3" t="s">
        <v>224</v>
      </c>
      <c r="F44" s="3" t="s">
        <v>225</v>
      </c>
      <c r="G44" s="3" t="s">
        <v>226</v>
      </c>
      <c r="H44" s="4"/>
      <c r="I44" s="3"/>
    </row>
    <row r="45" customFormat="false" ht="72" hidden="false" customHeight="true" outlineLevel="0" collapsed="false">
      <c r="A45" s="5" t="s">
        <v>227</v>
      </c>
      <c r="B45" s="5" t="s">
        <v>131</v>
      </c>
      <c r="C45" s="6" t="s">
        <v>132</v>
      </c>
      <c r="D45" s="6" t="s">
        <v>133</v>
      </c>
      <c r="E45" s="6" t="s">
        <v>228</v>
      </c>
      <c r="F45" s="6" t="s">
        <v>49</v>
      </c>
      <c r="G45" s="6" t="s">
        <v>229</v>
      </c>
      <c r="H45" s="4"/>
      <c r="I45" s="6"/>
    </row>
    <row r="46" customFormat="false" ht="72" hidden="false" customHeight="true" outlineLevel="0" collapsed="false">
      <c r="A46" s="2" t="s">
        <v>230</v>
      </c>
      <c r="B46" s="2" t="s">
        <v>100</v>
      </c>
      <c r="C46" s="3" t="s">
        <v>101</v>
      </c>
      <c r="D46" s="3" t="s">
        <v>102</v>
      </c>
      <c r="E46" s="3" t="s">
        <v>62</v>
      </c>
      <c r="F46" s="3" t="s">
        <v>63</v>
      </c>
      <c r="G46" s="3" t="s">
        <v>64</v>
      </c>
      <c r="H46" s="4"/>
      <c r="I46" s="3"/>
    </row>
    <row r="47" customFormat="false" ht="72" hidden="false" customHeight="true" outlineLevel="0" collapsed="false">
      <c r="A47" s="5" t="s">
        <v>231</v>
      </c>
      <c r="B47" s="5" t="s">
        <v>171</v>
      </c>
      <c r="C47" s="6" t="s">
        <v>172</v>
      </c>
      <c r="D47" s="6" t="s">
        <v>173</v>
      </c>
      <c r="E47" s="6" t="s">
        <v>158</v>
      </c>
      <c r="F47" s="6" t="s">
        <v>21</v>
      </c>
      <c r="G47" s="6" t="s">
        <v>159</v>
      </c>
      <c r="H47" s="4"/>
      <c r="I47" s="6"/>
    </row>
    <row r="48" customFormat="false" ht="72" hidden="false" customHeight="true" outlineLevel="0" collapsed="false">
      <c r="A48" s="2" t="s">
        <v>232</v>
      </c>
      <c r="B48" s="2" t="s">
        <v>233</v>
      </c>
      <c r="C48" s="3" t="s">
        <v>234</v>
      </c>
      <c r="D48" s="3" t="s">
        <v>235</v>
      </c>
      <c r="E48" s="3" t="s">
        <v>236</v>
      </c>
      <c r="F48" s="3" t="s">
        <v>63</v>
      </c>
      <c r="G48" s="3" t="s">
        <v>237</v>
      </c>
      <c r="H48" s="4"/>
      <c r="I48" s="3"/>
    </row>
    <row r="49" customFormat="false" ht="72" hidden="false" customHeight="true" outlineLevel="0" collapsed="false">
      <c r="A49" s="5" t="s">
        <v>238</v>
      </c>
      <c r="B49" s="5" t="s">
        <v>66</v>
      </c>
      <c r="C49" s="6" t="s">
        <v>67</v>
      </c>
      <c r="D49" s="6" t="s">
        <v>68</v>
      </c>
      <c r="E49" s="6" t="s">
        <v>239</v>
      </c>
      <c r="F49" s="6" t="s">
        <v>21</v>
      </c>
      <c r="G49" s="6" t="s">
        <v>240</v>
      </c>
      <c r="H49" s="4"/>
      <c r="I49" s="6"/>
    </row>
    <row r="50" customFormat="false" ht="72" hidden="false" customHeight="true" outlineLevel="0" collapsed="false">
      <c r="A50" s="2" t="s">
        <v>241</v>
      </c>
      <c r="B50" s="2" t="s">
        <v>31</v>
      </c>
      <c r="C50" s="3" t="s">
        <v>32</v>
      </c>
      <c r="D50" s="3" t="s">
        <v>33</v>
      </c>
      <c r="E50" s="3" t="s">
        <v>195</v>
      </c>
      <c r="F50" s="3" t="s">
        <v>87</v>
      </c>
      <c r="G50" s="3" t="s">
        <v>196</v>
      </c>
      <c r="H50" s="4"/>
      <c r="I50" s="3"/>
    </row>
    <row r="51" customFormat="false" ht="72" hidden="false" customHeight="true" outlineLevel="0" collapsed="false">
      <c r="A51" s="5" t="s">
        <v>242</v>
      </c>
      <c r="B51" s="5" t="s">
        <v>164</v>
      </c>
      <c r="C51" s="6" t="s">
        <v>165</v>
      </c>
      <c r="D51" s="6" t="s">
        <v>166</v>
      </c>
      <c r="E51" s="6" t="s">
        <v>224</v>
      </c>
      <c r="F51" s="6" t="s">
        <v>225</v>
      </c>
      <c r="G51" s="6" t="s">
        <v>226</v>
      </c>
      <c r="H51" s="4"/>
      <c r="I51" s="6"/>
    </row>
    <row r="52" customFormat="false" ht="72" hidden="false" customHeight="true" outlineLevel="0" collapsed="false">
      <c r="A52" s="2" t="s">
        <v>243</v>
      </c>
      <c r="B52" s="2" t="s">
        <v>10</v>
      </c>
      <c r="C52" s="3" t="s">
        <v>11</v>
      </c>
      <c r="D52" s="3" t="s">
        <v>12</v>
      </c>
      <c r="E52" s="3" t="s">
        <v>244</v>
      </c>
      <c r="F52" s="3" t="s">
        <v>155</v>
      </c>
      <c r="G52" s="3" t="s">
        <v>245</v>
      </c>
      <c r="H52" s="4"/>
      <c r="I52" s="3"/>
    </row>
    <row r="53" customFormat="false" ht="72" hidden="false" customHeight="true" outlineLevel="0" collapsed="false">
      <c r="A53" s="5" t="s">
        <v>246</v>
      </c>
      <c r="B53" s="5" t="s">
        <v>45</v>
      </c>
      <c r="C53" s="6" t="s">
        <v>46</v>
      </c>
      <c r="D53" s="6" t="s">
        <v>47</v>
      </c>
      <c r="E53" s="6" t="s">
        <v>236</v>
      </c>
      <c r="F53" s="6" t="s">
        <v>63</v>
      </c>
      <c r="G53" s="6" t="s">
        <v>237</v>
      </c>
      <c r="H53" s="4"/>
      <c r="I53" s="6"/>
    </row>
    <row r="54" customFormat="false" ht="72" hidden="false" customHeight="true" outlineLevel="0" collapsed="false">
      <c r="A54" s="2" t="s">
        <v>247</v>
      </c>
      <c r="B54" s="2" t="s">
        <v>76</v>
      </c>
      <c r="C54" s="3" t="s">
        <v>77</v>
      </c>
      <c r="D54" s="3" t="s">
        <v>78</v>
      </c>
      <c r="E54" s="3" t="s">
        <v>69</v>
      </c>
      <c r="F54" s="3" t="s">
        <v>14</v>
      </c>
      <c r="G54" s="3" t="s">
        <v>70</v>
      </c>
      <c r="H54" s="4"/>
      <c r="I54" s="3"/>
    </row>
    <row r="55" customFormat="false" ht="72" hidden="false" customHeight="true" outlineLevel="0" collapsed="false">
      <c r="A55" s="5" t="s">
        <v>248</v>
      </c>
      <c r="B55" s="5" t="s">
        <v>100</v>
      </c>
      <c r="C55" s="6" t="s">
        <v>101</v>
      </c>
      <c r="D55" s="6" t="s">
        <v>102</v>
      </c>
      <c r="E55" s="6" t="s">
        <v>158</v>
      </c>
      <c r="F55" s="6" t="s">
        <v>21</v>
      </c>
      <c r="G55" s="6" t="s">
        <v>159</v>
      </c>
      <c r="H55" s="4"/>
      <c r="I55" s="6"/>
    </row>
    <row r="56" customFormat="false" ht="72" hidden="false" customHeight="true" outlineLevel="0" collapsed="false">
      <c r="A56" s="2" t="s">
        <v>249</v>
      </c>
      <c r="B56" s="2" t="s">
        <v>250</v>
      </c>
      <c r="C56" s="3" t="s">
        <v>251</v>
      </c>
      <c r="D56" s="3" t="s">
        <v>252</v>
      </c>
      <c r="E56" s="3" t="s">
        <v>253</v>
      </c>
      <c r="F56" s="3" t="s">
        <v>49</v>
      </c>
      <c r="G56" s="3" t="s">
        <v>254</v>
      </c>
      <c r="H56" s="4"/>
      <c r="I56" s="3"/>
    </row>
    <row r="57" customFormat="false" ht="72" hidden="false" customHeight="true" outlineLevel="0" collapsed="false">
      <c r="A57" s="5" t="s">
        <v>255</v>
      </c>
      <c r="B57" s="5" t="s">
        <v>183</v>
      </c>
      <c r="C57" s="6" t="s">
        <v>184</v>
      </c>
      <c r="D57" s="6" t="s">
        <v>185</v>
      </c>
      <c r="E57" s="6" t="s">
        <v>69</v>
      </c>
      <c r="F57" s="6" t="s">
        <v>14</v>
      </c>
      <c r="G57" s="6" t="s">
        <v>70</v>
      </c>
      <c r="H57" s="4"/>
      <c r="I57" s="6"/>
    </row>
    <row r="58" customFormat="false" ht="72" hidden="false" customHeight="true" outlineLevel="0" collapsed="false">
      <c r="A58" s="2" t="s">
        <v>256</v>
      </c>
      <c r="B58" s="2" t="s">
        <v>257</v>
      </c>
      <c r="C58" s="3" t="s">
        <v>258</v>
      </c>
      <c r="D58" s="3" t="s">
        <v>259</v>
      </c>
      <c r="E58" s="3" t="s">
        <v>236</v>
      </c>
      <c r="F58" s="3" t="s">
        <v>63</v>
      </c>
      <c r="G58" s="3" t="s">
        <v>237</v>
      </c>
      <c r="H58" s="4"/>
      <c r="I58" s="3"/>
    </row>
    <row r="59" customFormat="false" ht="72" hidden="false" customHeight="true" outlineLevel="0" collapsed="false">
      <c r="A59" s="5" t="s">
        <v>260</v>
      </c>
      <c r="B59" s="5" t="s">
        <v>10</v>
      </c>
      <c r="C59" s="6" t="s">
        <v>11</v>
      </c>
      <c r="D59" s="6" t="s">
        <v>12</v>
      </c>
      <c r="E59" s="6" t="s">
        <v>261</v>
      </c>
      <c r="F59" s="6" t="s">
        <v>87</v>
      </c>
      <c r="G59" s="6" t="s">
        <v>262</v>
      </c>
      <c r="H59" s="4"/>
      <c r="I59" s="6"/>
    </row>
    <row r="60" customFormat="false" ht="72" hidden="false" customHeight="true" outlineLevel="0" collapsed="false">
      <c r="A60" s="2" t="s">
        <v>263</v>
      </c>
      <c r="B60" s="2" t="s">
        <v>52</v>
      </c>
      <c r="C60" s="3" t="s">
        <v>53</v>
      </c>
      <c r="D60" s="3" t="s">
        <v>54</v>
      </c>
      <c r="E60" s="3" t="s">
        <v>264</v>
      </c>
      <c r="F60" s="3" t="s">
        <v>35</v>
      </c>
      <c r="G60" s="3" t="s">
        <v>265</v>
      </c>
      <c r="H60" s="4"/>
      <c r="I60" s="3"/>
    </row>
    <row r="61" customFormat="false" ht="72" hidden="false" customHeight="true" outlineLevel="0" collapsed="false">
      <c r="A61" s="5" t="s">
        <v>266</v>
      </c>
      <c r="B61" s="5" t="s">
        <v>257</v>
      </c>
      <c r="C61" s="6" t="s">
        <v>258</v>
      </c>
      <c r="D61" s="6" t="s">
        <v>259</v>
      </c>
      <c r="E61" s="6" t="s">
        <v>186</v>
      </c>
      <c r="F61" s="6" t="s">
        <v>63</v>
      </c>
      <c r="G61" s="6" t="s">
        <v>187</v>
      </c>
      <c r="H61" s="4"/>
      <c r="I61" s="6"/>
    </row>
    <row r="62" customFormat="false" ht="72" hidden="false" customHeight="true" outlineLevel="0" collapsed="false">
      <c r="A62" s="2" t="s">
        <v>267</v>
      </c>
      <c r="B62" s="2" t="s">
        <v>10</v>
      </c>
      <c r="C62" s="3" t="s">
        <v>11</v>
      </c>
      <c r="D62" s="3" t="s">
        <v>12</v>
      </c>
      <c r="E62" s="3" t="s">
        <v>268</v>
      </c>
      <c r="F62" s="3" t="s">
        <v>14</v>
      </c>
      <c r="G62" s="3" t="s">
        <v>269</v>
      </c>
      <c r="H62" s="4"/>
      <c r="I62" s="3"/>
    </row>
    <row r="63" customFormat="false" ht="72" hidden="false" customHeight="true" outlineLevel="0" collapsed="false">
      <c r="A63" s="5" t="s">
        <v>270</v>
      </c>
      <c r="B63" s="5" t="s">
        <v>83</v>
      </c>
      <c r="C63" s="6" t="s">
        <v>84</v>
      </c>
      <c r="D63" s="6" t="s">
        <v>85</v>
      </c>
      <c r="E63" s="6" t="s">
        <v>271</v>
      </c>
      <c r="F63" s="6" t="s">
        <v>87</v>
      </c>
      <c r="G63" s="6" t="s">
        <v>272</v>
      </c>
      <c r="H63" s="4"/>
      <c r="I63" s="6"/>
    </row>
    <row r="64" customFormat="false" ht="72" hidden="false" customHeight="true" outlineLevel="0" collapsed="false">
      <c r="A64" s="2" t="s">
        <v>273</v>
      </c>
      <c r="B64" s="2" t="s">
        <v>214</v>
      </c>
      <c r="C64" s="3" t="s">
        <v>215</v>
      </c>
      <c r="D64" s="3" t="s">
        <v>216</v>
      </c>
      <c r="E64" s="3" t="s">
        <v>27</v>
      </c>
      <c r="F64" s="3" t="s">
        <v>28</v>
      </c>
      <c r="G64" s="3" t="s">
        <v>29</v>
      </c>
      <c r="H64" s="4"/>
      <c r="I64" s="3"/>
    </row>
    <row r="65" customFormat="false" ht="72" hidden="false" customHeight="true" outlineLevel="0" collapsed="false">
      <c r="A65" s="5" t="s">
        <v>274</v>
      </c>
      <c r="B65" s="5" t="s">
        <v>127</v>
      </c>
      <c r="C65" s="6" t="s">
        <v>128</v>
      </c>
      <c r="D65" s="6" t="s">
        <v>129</v>
      </c>
      <c r="E65" s="6" t="s">
        <v>275</v>
      </c>
      <c r="F65" s="6" t="s">
        <v>73</v>
      </c>
      <c r="G65" s="6" t="s">
        <v>276</v>
      </c>
      <c r="H65" s="4"/>
      <c r="I65" s="6"/>
    </row>
    <row r="66" customFormat="false" ht="72" hidden="false" customHeight="true" outlineLevel="0" collapsed="false">
      <c r="A66" s="2" t="s">
        <v>277</v>
      </c>
      <c r="B66" s="2" t="s">
        <v>198</v>
      </c>
      <c r="C66" s="3" t="s">
        <v>199</v>
      </c>
      <c r="D66" s="3" t="s">
        <v>200</v>
      </c>
      <c r="E66" s="3" t="s">
        <v>20</v>
      </c>
      <c r="F66" s="3" t="s">
        <v>21</v>
      </c>
      <c r="G66" s="3" t="s">
        <v>22</v>
      </c>
      <c r="H66" s="4"/>
      <c r="I66" s="3"/>
    </row>
    <row r="67" customFormat="false" ht="72" hidden="false" customHeight="true" outlineLevel="0" collapsed="false">
      <c r="A67" s="5" t="s">
        <v>278</v>
      </c>
      <c r="B67" s="5" t="s">
        <v>279</v>
      </c>
      <c r="C67" s="6" t="s">
        <v>280</v>
      </c>
      <c r="D67" s="6" t="s">
        <v>281</v>
      </c>
      <c r="E67" s="6" t="s">
        <v>117</v>
      </c>
      <c r="F67" s="6" t="s">
        <v>118</v>
      </c>
      <c r="G67" s="6" t="s">
        <v>119</v>
      </c>
      <c r="H67" s="4"/>
      <c r="I67" s="6"/>
    </row>
    <row r="68" customFormat="false" ht="72" hidden="false" customHeight="true" outlineLevel="0" collapsed="false">
      <c r="A68" s="2" t="s">
        <v>282</v>
      </c>
      <c r="B68" s="2" t="s">
        <v>283</v>
      </c>
      <c r="C68" s="3" t="s">
        <v>284</v>
      </c>
      <c r="D68" s="3" t="s">
        <v>285</v>
      </c>
      <c r="E68" s="3" t="s">
        <v>286</v>
      </c>
      <c r="F68" s="3" t="s">
        <v>14</v>
      </c>
      <c r="G68" s="3" t="s">
        <v>287</v>
      </c>
      <c r="H68" s="4"/>
      <c r="I68" s="3"/>
    </row>
    <row r="69" customFormat="false" ht="72" hidden="false" customHeight="true" outlineLevel="0" collapsed="false">
      <c r="A69" s="5" t="s">
        <v>288</v>
      </c>
      <c r="B69" s="5" t="s">
        <v>198</v>
      </c>
      <c r="C69" s="6" t="s">
        <v>199</v>
      </c>
      <c r="D69" s="6" t="s">
        <v>200</v>
      </c>
      <c r="E69" s="6" t="s">
        <v>158</v>
      </c>
      <c r="F69" s="6" t="s">
        <v>21</v>
      </c>
      <c r="G69" s="6" t="s">
        <v>159</v>
      </c>
      <c r="H69" s="4"/>
      <c r="I69" s="6"/>
    </row>
    <row r="70" customFormat="false" ht="72" hidden="false" customHeight="true" outlineLevel="0" collapsed="false">
      <c r="A70" s="2" t="s">
        <v>289</v>
      </c>
      <c r="B70" s="2" t="s">
        <v>290</v>
      </c>
      <c r="C70" s="3" t="s">
        <v>291</v>
      </c>
      <c r="D70" s="3" t="s">
        <v>292</v>
      </c>
      <c r="E70" s="3" t="s">
        <v>41</v>
      </c>
      <c r="F70" s="3" t="s">
        <v>42</v>
      </c>
      <c r="G70" s="3" t="s">
        <v>43</v>
      </c>
      <c r="H70" s="4"/>
      <c r="I70" s="3"/>
    </row>
    <row r="71" customFormat="false" ht="72" hidden="false" customHeight="true" outlineLevel="0" collapsed="false">
      <c r="A71" s="5" t="s">
        <v>293</v>
      </c>
      <c r="B71" s="5" t="s">
        <v>164</v>
      </c>
      <c r="C71" s="6" t="s">
        <v>165</v>
      </c>
      <c r="D71" s="6" t="s">
        <v>166</v>
      </c>
      <c r="E71" s="6" t="s">
        <v>236</v>
      </c>
      <c r="F71" s="6" t="s">
        <v>63</v>
      </c>
      <c r="G71" s="6" t="s">
        <v>237</v>
      </c>
      <c r="H71" s="4"/>
      <c r="I71" s="6"/>
    </row>
    <row r="72" customFormat="false" ht="72" hidden="false" customHeight="true" outlineLevel="0" collapsed="false">
      <c r="A72" s="2" t="s">
        <v>294</v>
      </c>
      <c r="B72" s="2" t="s">
        <v>192</v>
      </c>
      <c r="C72" s="3" t="s">
        <v>193</v>
      </c>
      <c r="D72" s="3" t="s">
        <v>194</v>
      </c>
      <c r="E72" s="3" t="s">
        <v>295</v>
      </c>
      <c r="F72" s="3" t="s">
        <v>28</v>
      </c>
      <c r="G72" s="3" t="s">
        <v>296</v>
      </c>
      <c r="H72" s="4"/>
      <c r="I72" s="3"/>
    </row>
    <row r="73" customFormat="false" ht="72" hidden="false" customHeight="true" outlineLevel="0" collapsed="false">
      <c r="A73" s="5" t="s">
        <v>297</v>
      </c>
      <c r="B73" s="5" t="s">
        <v>100</v>
      </c>
      <c r="C73" s="6" t="s">
        <v>101</v>
      </c>
      <c r="D73" s="6" t="s">
        <v>102</v>
      </c>
      <c r="E73" s="6" t="s">
        <v>298</v>
      </c>
      <c r="F73" s="6" t="s">
        <v>225</v>
      </c>
      <c r="G73" s="6" t="s">
        <v>299</v>
      </c>
      <c r="H73" s="4"/>
      <c r="I73" s="6"/>
    </row>
    <row r="74" customFormat="false" ht="72" hidden="false" customHeight="true" outlineLevel="0" collapsed="false">
      <c r="A74" s="2" t="s">
        <v>300</v>
      </c>
      <c r="B74" s="2" t="s">
        <v>214</v>
      </c>
      <c r="C74" s="3" t="s">
        <v>215</v>
      </c>
      <c r="D74" s="3" t="s">
        <v>216</v>
      </c>
      <c r="E74" s="3" t="s">
        <v>13</v>
      </c>
      <c r="F74" s="3" t="s">
        <v>14</v>
      </c>
      <c r="G74" s="3" t="s">
        <v>15</v>
      </c>
      <c r="H74" s="4"/>
      <c r="I74" s="3"/>
    </row>
    <row r="75" customFormat="false" ht="72" hidden="false" customHeight="true" outlineLevel="0" collapsed="false">
      <c r="A75" s="5" t="s">
        <v>301</v>
      </c>
      <c r="B75" s="5" t="s">
        <v>302</v>
      </c>
      <c r="C75" s="6" t="s">
        <v>303</v>
      </c>
      <c r="D75" s="6" t="s">
        <v>304</v>
      </c>
      <c r="E75" s="6" t="s">
        <v>305</v>
      </c>
      <c r="F75" s="6" t="s">
        <v>306</v>
      </c>
      <c r="G75" s="6" t="s">
        <v>307</v>
      </c>
      <c r="H75" s="4"/>
      <c r="I75" s="6"/>
    </row>
    <row r="76" customFormat="false" ht="72" hidden="false" customHeight="true" outlineLevel="0" collapsed="false">
      <c r="A76" s="2" t="s">
        <v>308</v>
      </c>
      <c r="B76" s="2" t="s">
        <v>279</v>
      </c>
      <c r="C76" s="3" t="s">
        <v>280</v>
      </c>
      <c r="D76" s="3" t="s">
        <v>281</v>
      </c>
      <c r="E76" s="3" t="s">
        <v>69</v>
      </c>
      <c r="F76" s="3" t="s">
        <v>14</v>
      </c>
      <c r="G76" s="3" t="s">
        <v>70</v>
      </c>
      <c r="H76" s="4"/>
      <c r="I76" s="3"/>
    </row>
    <row r="77" customFormat="false" ht="72" hidden="false" customHeight="true" outlineLevel="0" collapsed="false">
      <c r="A77" s="5" t="s">
        <v>309</v>
      </c>
      <c r="B77" s="5" t="s">
        <v>100</v>
      </c>
      <c r="C77" s="6" t="s">
        <v>101</v>
      </c>
      <c r="D77" s="6" t="s">
        <v>102</v>
      </c>
      <c r="E77" s="6" t="s">
        <v>310</v>
      </c>
      <c r="F77" s="6" t="s">
        <v>63</v>
      </c>
      <c r="G77" s="6" t="s">
        <v>311</v>
      </c>
      <c r="H77" s="4"/>
      <c r="I77" s="6"/>
    </row>
    <row r="78" customFormat="false" ht="72" hidden="false" customHeight="true" outlineLevel="0" collapsed="false">
      <c r="A78" s="2" t="s">
        <v>312</v>
      </c>
      <c r="B78" s="2" t="s">
        <v>171</v>
      </c>
      <c r="C78" s="3" t="s">
        <v>172</v>
      </c>
      <c r="D78" s="3" t="s">
        <v>173</v>
      </c>
      <c r="E78" s="3" t="s">
        <v>271</v>
      </c>
      <c r="F78" s="3" t="s">
        <v>87</v>
      </c>
      <c r="G78" s="3" t="s">
        <v>272</v>
      </c>
      <c r="H78" s="4"/>
      <c r="I78" s="3"/>
    </row>
    <row r="79" customFormat="false" ht="72" hidden="false" customHeight="true" outlineLevel="0" collapsed="false">
      <c r="A79" s="5" t="s">
        <v>313</v>
      </c>
      <c r="B79" s="5" t="s">
        <v>131</v>
      </c>
      <c r="C79" s="6" t="s">
        <v>132</v>
      </c>
      <c r="D79" s="6" t="s">
        <v>133</v>
      </c>
      <c r="E79" s="6" t="s">
        <v>180</v>
      </c>
      <c r="F79" s="6" t="s">
        <v>135</v>
      </c>
      <c r="G79" s="6" t="s">
        <v>181</v>
      </c>
      <c r="H79" s="4"/>
      <c r="I79" s="6"/>
    </row>
    <row r="80" customFormat="false" ht="72" hidden="false" customHeight="true" outlineLevel="0" collapsed="false">
      <c r="A80" s="2" t="s">
        <v>314</v>
      </c>
      <c r="B80" s="2" t="s">
        <v>315</v>
      </c>
      <c r="C80" s="3" t="s">
        <v>316</v>
      </c>
      <c r="D80" s="3" t="s">
        <v>317</v>
      </c>
      <c r="E80" s="3" t="s">
        <v>154</v>
      </c>
      <c r="F80" s="3" t="s">
        <v>155</v>
      </c>
      <c r="G80" s="3" t="s">
        <v>156</v>
      </c>
      <c r="H80" s="4"/>
      <c r="I80" s="3"/>
    </row>
    <row r="81" customFormat="false" ht="72" hidden="false" customHeight="true" outlineLevel="0" collapsed="false">
      <c r="A81" s="5" t="s">
        <v>318</v>
      </c>
      <c r="B81" s="5" t="s">
        <v>38</v>
      </c>
      <c r="C81" s="6" t="s">
        <v>39</v>
      </c>
      <c r="D81" s="6" t="s">
        <v>40</v>
      </c>
      <c r="E81" s="6" t="s">
        <v>224</v>
      </c>
      <c r="F81" s="6" t="s">
        <v>225</v>
      </c>
      <c r="G81" s="6" t="s">
        <v>226</v>
      </c>
      <c r="H81" s="4"/>
      <c r="I81" s="6"/>
    </row>
    <row r="82" customFormat="false" ht="72" hidden="false" customHeight="true" outlineLevel="0" collapsed="false">
      <c r="A82" s="2" t="s">
        <v>319</v>
      </c>
      <c r="B82" s="2" t="s">
        <v>214</v>
      </c>
      <c r="C82" s="3" t="s">
        <v>215</v>
      </c>
      <c r="D82" s="3" t="s">
        <v>216</v>
      </c>
      <c r="E82" s="3" t="s">
        <v>320</v>
      </c>
      <c r="F82" s="3" t="s">
        <v>104</v>
      </c>
      <c r="G82" s="3" t="s">
        <v>321</v>
      </c>
      <c r="H82" s="4"/>
      <c r="I82" s="3"/>
    </row>
    <row r="83" customFormat="false" ht="72" hidden="false" customHeight="true" outlineLevel="0" collapsed="false">
      <c r="A83" s="5" t="s">
        <v>322</v>
      </c>
      <c r="B83" s="5" t="s">
        <v>233</v>
      </c>
      <c r="C83" s="6" t="s">
        <v>234</v>
      </c>
      <c r="D83" s="6" t="s">
        <v>235</v>
      </c>
      <c r="E83" s="6" t="s">
        <v>323</v>
      </c>
      <c r="F83" s="6" t="s">
        <v>202</v>
      </c>
      <c r="G83" s="6" t="s">
        <v>324</v>
      </c>
      <c r="H83" s="4"/>
      <c r="I83" s="6"/>
    </row>
    <row r="84" customFormat="false" ht="72" hidden="false" customHeight="true" outlineLevel="0" collapsed="false">
      <c r="A84" s="2" t="s">
        <v>325</v>
      </c>
      <c r="B84" s="2" t="s">
        <v>315</v>
      </c>
      <c r="C84" s="3" t="s">
        <v>316</v>
      </c>
      <c r="D84" s="3" t="s">
        <v>317</v>
      </c>
      <c r="E84" s="3" t="s">
        <v>186</v>
      </c>
      <c r="F84" s="3" t="s">
        <v>63</v>
      </c>
      <c r="G84" s="3" t="s">
        <v>187</v>
      </c>
      <c r="H84" s="4"/>
      <c r="I84" s="3"/>
    </row>
    <row r="85" customFormat="false" ht="72" hidden="false" customHeight="true" outlineLevel="0" collapsed="false">
      <c r="A85" s="5" t="s">
        <v>326</v>
      </c>
      <c r="B85" s="5" t="s">
        <v>59</v>
      </c>
      <c r="C85" s="6" t="s">
        <v>60</v>
      </c>
      <c r="D85" s="6" t="s">
        <v>61</v>
      </c>
      <c r="E85" s="6" t="s">
        <v>27</v>
      </c>
      <c r="F85" s="6" t="s">
        <v>28</v>
      </c>
      <c r="G85" s="6" t="s">
        <v>29</v>
      </c>
      <c r="H85" s="4"/>
      <c r="I85" s="6"/>
    </row>
    <row r="86" customFormat="false" ht="72" hidden="false" customHeight="true" outlineLevel="0" collapsed="false">
      <c r="A86" s="2" t="s">
        <v>327</v>
      </c>
      <c r="B86" s="2" t="s">
        <v>147</v>
      </c>
      <c r="C86" s="3" t="s">
        <v>148</v>
      </c>
      <c r="D86" s="3" t="s">
        <v>149</v>
      </c>
      <c r="E86" s="3" t="s">
        <v>90</v>
      </c>
      <c r="F86" s="3" t="s">
        <v>80</v>
      </c>
      <c r="G86" s="3" t="s">
        <v>91</v>
      </c>
      <c r="H86" s="4"/>
      <c r="I86" s="3"/>
    </row>
    <row r="87" customFormat="false" ht="72" hidden="false" customHeight="true" outlineLevel="0" collapsed="false">
      <c r="A87" s="5" t="s">
        <v>328</v>
      </c>
      <c r="B87" s="5" t="s">
        <v>283</v>
      </c>
      <c r="C87" s="6" t="s">
        <v>284</v>
      </c>
      <c r="D87" s="6" t="s">
        <v>285</v>
      </c>
      <c r="E87" s="6" t="s">
        <v>329</v>
      </c>
      <c r="F87" s="6" t="s">
        <v>104</v>
      </c>
      <c r="G87" s="6" t="s">
        <v>330</v>
      </c>
      <c r="H87" s="4"/>
      <c r="I87" s="6"/>
    </row>
    <row r="88" customFormat="false" ht="72" hidden="false" customHeight="true" outlineLevel="0" collapsed="false">
      <c r="A88" s="2" t="s">
        <v>331</v>
      </c>
      <c r="B88" s="2" t="s">
        <v>302</v>
      </c>
      <c r="C88" s="3" t="s">
        <v>303</v>
      </c>
      <c r="D88" s="3" t="s">
        <v>304</v>
      </c>
      <c r="E88" s="3" t="s">
        <v>332</v>
      </c>
      <c r="F88" s="3" t="s">
        <v>73</v>
      </c>
      <c r="G88" s="3" t="s">
        <v>333</v>
      </c>
      <c r="H88" s="4"/>
      <c r="I88" s="3"/>
    </row>
    <row r="89" customFormat="false" ht="72" hidden="false" customHeight="true" outlineLevel="0" collapsed="false">
      <c r="A89" s="5" t="s">
        <v>334</v>
      </c>
      <c r="B89" s="5" t="s">
        <v>302</v>
      </c>
      <c r="C89" s="6" t="s">
        <v>303</v>
      </c>
      <c r="D89" s="6" t="s">
        <v>304</v>
      </c>
      <c r="E89" s="6" t="s">
        <v>335</v>
      </c>
      <c r="F89" s="6" t="s">
        <v>104</v>
      </c>
      <c r="G89" s="6" t="s">
        <v>336</v>
      </c>
      <c r="H89" s="4"/>
      <c r="I89" s="6"/>
    </row>
    <row r="90" customFormat="false" ht="72" hidden="false" customHeight="true" outlineLevel="0" collapsed="false">
      <c r="A90" s="2" t="s">
        <v>337</v>
      </c>
      <c r="B90" s="2" t="s">
        <v>76</v>
      </c>
      <c r="C90" s="3" t="s">
        <v>77</v>
      </c>
      <c r="D90" s="3" t="s">
        <v>78</v>
      </c>
      <c r="E90" s="3" t="s">
        <v>110</v>
      </c>
      <c r="F90" s="3" t="s">
        <v>111</v>
      </c>
      <c r="G90" s="3" t="s">
        <v>112</v>
      </c>
      <c r="H90" s="4"/>
      <c r="I90" s="3"/>
    </row>
    <row r="91" customFormat="false" ht="72" hidden="false" customHeight="true" outlineLevel="0" collapsed="false">
      <c r="A91" s="5" t="s">
        <v>338</v>
      </c>
      <c r="B91" s="5" t="s">
        <v>192</v>
      </c>
      <c r="C91" s="6" t="s">
        <v>193</v>
      </c>
      <c r="D91" s="6" t="s">
        <v>194</v>
      </c>
      <c r="E91" s="6" t="s">
        <v>201</v>
      </c>
      <c r="F91" s="6" t="s">
        <v>202</v>
      </c>
      <c r="G91" s="6" t="s">
        <v>203</v>
      </c>
      <c r="H91" s="4"/>
      <c r="I91" s="6"/>
    </row>
    <row r="92" customFormat="false" ht="72" hidden="false" customHeight="true" outlineLevel="0" collapsed="false">
      <c r="A92" s="2" t="s">
        <v>339</v>
      </c>
      <c r="B92" s="2" t="s">
        <v>107</v>
      </c>
      <c r="C92" s="3" t="s">
        <v>108</v>
      </c>
      <c r="D92" s="3" t="s">
        <v>109</v>
      </c>
      <c r="E92" s="3" t="s">
        <v>117</v>
      </c>
      <c r="F92" s="3" t="s">
        <v>118</v>
      </c>
      <c r="G92" s="3" t="s">
        <v>119</v>
      </c>
      <c r="H92" s="4"/>
      <c r="I92" s="3"/>
    </row>
    <row r="93" customFormat="false" ht="72" hidden="false" customHeight="true" outlineLevel="0" collapsed="false">
      <c r="A93" s="5" t="s">
        <v>340</v>
      </c>
      <c r="B93" s="5" t="s">
        <v>171</v>
      </c>
      <c r="C93" s="6" t="s">
        <v>172</v>
      </c>
      <c r="D93" s="6" t="s">
        <v>173</v>
      </c>
      <c r="E93" s="6" t="s">
        <v>103</v>
      </c>
      <c r="F93" s="6" t="s">
        <v>104</v>
      </c>
      <c r="G93" s="6" t="s">
        <v>105</v>
      </c>
      <c r="H93" s="4"/>
      <c r="I93" s="6"/>
    </row>
    <row r="94" customFormat="false" ht="72" hidden="false" customHeight="true" outlineLevel="0" collapsed="false">
      <c r="A94" s="2" t="s">
        <v>341</v>
      </c>
      <c r="B94" s="2" t="s">
        <v>52</v>
      </c>
      <c r="C94" s="3" t="s">
        <v>53</v>
      </c>
      <c r="D94" s="3" t="s">
        <v>54</v>
      </c>
      <c r="E94" s="3" t="s">
        <v>180</v>
      </c>
      <c r="F94" s="3" t="s">
        <v>135</v>
      </c>
      <c r="G94" s="3" t="s">
        <v>181</v>
      </c>
      <c r="H94" s="4"/>
      <c r="I94" s="3"/>
    </row>
    <row r="95" customFormat="false" ht="72" hidden="false" customHeight="true" outlineLevel="0" collapsed="false">
      <c r="A95" s="5" t="s">
        <v>342</v>
      </c>
      <c r="B95" s="5" t="s">
        <v>31</v>
      </c>
      <c r="C95" s="6" t="s">
        <v>32</v>
      </c>
      <c r="D95" s="6" t="s">
        <v>33</v>
      </c>
      <c r="E95" s="6" t="s">
        <v>62</v>
      </c>
      <c r="F95" s="6" t="s">
        <v>63</v>
      </c>
      <c r="G95" s="6" t="s">
        <v>64</v>
      </c>
      <c r="H95" s="4"/>
      <c r="I95" s="6"/>
    </row>
    <row r="96" customFormat="false" ht="72" hidden="false" customHeight="true" outlineLevel="0" collapsed="false">
      <c r="A96" s="2" t="s">
        <v>343</v>
      </c>
      <c r="B96" s="2" t="s">
        <v>283</v>
      </c>
      <c r="C96" s="3" t="s">
        <v>284</v>
      </c>
      <c r="D96" s="3" t="s">
        <v>285</v>
      </c>
      <c r="E96" s="3" t="s">
        <v>344</v>
      </c>
      <c r="F96" s="3" t="s">
        <v>28</v>
      </c>
      <c r="G96" s="3" t="s">
        <v>345</v>
      </c>
      <c r="H96" s="4"/>
      <c r="I96" s="3"/>
    </row>
    <row r="97" customFormat="false" ht="72" hidden="false" customHeight="true" outlineLevel="0" collapsed="false">
      <c r="A97" s="5" t="s">
        <v>346</v>
      </c>
      <c r="B97" s="5" t="s">
        <v>164</v>
      </c>
      <c r="C97" s="6" t="s">
        <v>165</v>
      </c>
      <c r="D97" s="6" t="s">
        <v>166</v>
      </c>
      <c r="E97" s="6" t="s">
        <v>347</v>
      </c>
      <c r="F97" s="6" t="s">
        <v>28</v>
      </c>
      <c r="G97" s="6" t="s">
        <v>348</v>
      </c>
      <c r="H97" s="4"/>
      <c r="I97" s="6"/>
    </row>
    <row r="98" customFormat="false" ht="72" hidden="false" customHeight="true" outlineLevel="0" collapsed="false">
      <c r="A98" s="2" t="s">
        <v>349</v>
      </c>
      <c r="B98" s="2" t="s">
        <v>257</v>
      </c>
      <c r="C98" s="3" t="s">
        <v>258</v>
      </c>
      <c r="D98" s="3" t="s">
        <v>259</v>
      </c>
      <c r="E98" s="3" t="s">
        <v>350</v>
      </c>
      <c r="F98" s="3" t="s">
        <v>87</v>
      </c>
      <c r="G98" s="3" t="s">
        <v>351</v>
      </c>
      <c r="H98" s="4"/>
      <c r="I98" s="3"/>
    </row>
    <row r="99" customFormat="false" ht="72" hidden="false" customHeight="true" outlineLevel="0" collapsed="false">
      <c r="A99" s="5" t="s">
        <v>352</v>
      </c>
      <c r="B99" s="5" t="s">
        <v>257</v>
      </c>
      <c r="C99" s="6" t="s">
        <v>258</v>
      </c>
      <c r="D99" s="6" t="s">
        <v>259</v>
      </c>
      <c r="E99" s="6" t="s">
        <v>353</v>
      </c>
      <c r="F99" s="6" t="s">
        <v>63</v>
      </c>
      <c r="G99" s="6" t="s">
        <v>354</v>
      </c>
      <c r="H99" s="4"/>
      <c r="I99" s="6"/>
    </row>
    <row r="100" customFormat="false" ht="72" hidden="false" customHeight="true" outlineLevel="0" collapsed="false">
      <c r="A100" s="2" t="s">
        <v>355</v>
      </c>
      <c r="B100" s="2" t="s">
        <v>17</v>
      </c>
      <c r="C100" s="3" t="s">
        <v>18</v>
      </c>
      <c r="D100" s="3" t="s">
        <v>19</v>
      </c>
      <c r="E100" s="3" t="s">
        <v>154</v>
      </c>
      <c r="F100" s="3" t="s">
        <v>155</v>
      </c>
      <c r="G100" s="3" t="s">
        <v>156</v>
      </c>
      <c r="H100" s="4"/>
      <c r="I100" s="3"/>
    </row>
    <row r="101" customFormat="false" ht="72" hidden="false" customHeight="true" outlineLevel="0" collapsed="false">
      <c r="A101" s="5" t="s">
        <v>356</v>
      </c>
      <c r="B101" s="5" t="s">
        <v>221</v>
      </c>
      <c r="C101" s="6" t="s">
        <v>222</v>
      </c>
      <c r="D101" s="6" t="s">
        <v>223</v>
      </c>
      <c r="E101" s="6" t="s">
        <v>357</v>
      </c>
      <c r="F101" s="6" t="s">
        <v>358</v>
      </c>
      <c r="G101" s="6" t="s">
        <v>359</v>
      </c>
      <c r="H101" s="4"/>
      <c r="I101" s="6"/>
    </row>
    <row r="102" customFormat="false" ht="72" hidden="false" customHeight="true" outlineLevel="0" collapsed="false">
      <c r="A102" s="2" t="s">
        <v>360</v>
      </c>
      <c r="B102" s="2" t="s">
        <v>214</v>
      </c>
      <c r="C102" s="3" t="s">
        <v>215</v>
      </c>
      <c r="D102" s="3" t="s">
        <v>216</v>
      </c>
      <c r="E102" s="3" t="s">
        <v>117</v>
      </c>
      <c r="F102" s="3" t="s">
        <v>118</v>
      </c>
      <c r="G102" s="3" t="s">
        <v>119</v>
      </c>
      <c r="H102" s="4"/>
      <c r="I102" s="3"/>
    </row>
    <row r="103" customFormat="false" ht="72" hidden="false" customHeight="true" outlineLevel="0" collapsed="false">
      <c r="A103" s="5" t="s">
        <v>361</v>
      </c>
      <c r="B103" s="5" t="s">
        <v>107</v>
      </c>
      <c r="C103" s="6" t="s">
        <v>108</v>
      </c>
      <c r="D103" s="6" t="s">
        <v>109</v>
      </c>
      <c r="E103" s="6" t="s">
        <v>96</v>
      </c>
      <c r="F103" s="6" t="s">
        <v>97</v>
      </c>
      <c r="G103" s="6" t="s">
        <v>98</v>
      </c>
      <c r="H103" s="4"/>
      <c r="I103" s="6"/>
    </row>
    <row r="104" customFormat="false" ht="72" hidden="false" customHeight="true" outlineLevel="0" collapsed="false">
      <c r="A104" s="2" t="s">
        <v>362</v>
      </c>
      <c r="B104" s="2" t="s">
        <v>214</v>
      </c>
      <c r="C104" s="3" t="s">
        <v>215</v>
      </c>
      <c r="D104" s="3" t="s">
        <v>216</v>
      </c>
      <c r="E104" s="3" t="s">
        <v>186</v>
      </c>
      <c r="F104" s="3" t="s">
        <v>63</v>
      </c>
      <c r="G104" s="3" t="s">
        <v>187</v>
      </c>
      <c r="H104" s="4"/>
      <c r="I104" s="3"/>
    </row>
    <row r="105" customFormat="false" ht="72" hidden="false" customHeight="true" outlineLevel="0" collapsed="false">
      <c r="A105" s="5" t="s">
        <v>363</v>
      </c>
      <c r="B105" s="5" t="s">
        <v>147</v>
      </c>
      <c r="C105" s="6" t="s">
        <v>148</v>
      </c>
      <c r="D105" s="6" t="s">
        <v>149</v>
      </c>
      <c r="E105" s="6" t="s">
        <v>86</v>
      </c>
      <c r="F105" s="6" t="s">
        <v>87</v>
      </c>
      <c r="G105" s="6" t="s">
        <v>88</v>
      </c>
      <c r="H105" s="4"/>
      <c r="I105" s="6"/>
    </row>
    <row r="106" customFormat="false" ht="72" hidden="false" customHeight="true" outlineLevel="0" collapsed="false">
      <c r="A106" s="2" t="s">
        <v>364</v>
      </c>
      <c r="B106" s="2" t="s">
        <v>205</v>
      </c>
      <c r="C106" s="3" t="s">
        <v>206</v>
      </c>
      <c r="D106" s="3" t="s">
        <v>207</v>
      </c>
      <c r="E106" s="3" t="s">
        <v>144</v>
      </c>
      <c r="F106" s="3" t="s">
        <v>87</v>
      </c>
      <c r="G106" s="3" t="s">
        <v>145</v>
      </c>
      <c r="H106" s="4"/>
      <c r="I106" s="3"/>
    </row>
    <row r="107" customFormat="false" ht="72" hidden="false" customHeight="true" outlineLevel="0" collapsed="false">
      <c r="A107" s="5" t="s">
        <v>365</v>
      </c>
      <c r="B107" s="5" t="s">
        <v>315</v>
      </c>
      <c r="C107" s="6" t="s">
        <v>316</v>
      </c>
      <c r="D107" s="6" t="s">
        <v>317</v>
      </c>
      <c r="E107" s="6" t="s">
        <v>56</v>
      </c>
      <c r="F107" s="6" t="s">
        <v>28</v>
      </c>
      <c r="G107" s="6" t="s">
        <v>57</v>
      </c>
      <c r="H107" s="4"/>
      <c r="I107" s="6"/>
    </row>
    <row r="108" customFormat="false" ht="72" hidden="false" customHeight="true" outlineLevel="0" collapsed="false">
      <c r="A108" s="2" t="s">
        <v>366</v>
      </c>
      <c r="B108" s="2" t="s">
        <v>279</v>
      </c>
      <c r="C108" s="3" t="s">
        <v>280</v>
      </c>
      <c r="D108" s="3" t="s">
        <v>281</v>
      </c>
      <c r="E108" s="3" t="s">
        <v>186</v>
      </c>
      <c r="F108" s="3" t="s">
        <v>63</v>
      </c>
      <c r="G108" s="3" t="s">
        <v>187</v>
      </c>
      <c r="H108" s="4"/>
      <c r="I108" s="3"/>
    </row>
    <row r="109" customFormat="false" ht="72" hidden="false" customHeight="true" outlineLevel="0" collapsed="false">
      <c r="A109" s="5" t="s">
        <v>367</v>
      </c>
      <c r="B109" s="5" t="s">
        <v>83</v>
      </c>
      <c r="C109" s="6" t="s">
        <v>84</v>
      </c>
      <c r="D109" s="6" t="s">
        <v>85</v>
      </c>
      <c r="E109" s="6" t="s">
        <v>20</v>
      </c>
      <c r="F109" s="6" t="s">
        <v>21</v>
      </c>
      <c r="G109" s="6" t="s">
        <v>22</v>
      </c>
      <c r="H109" s="4"/>
      <c r="I109" s="6"/>
    </row>
    <row r="110" customFormat="false" ht="72" hidden="false" customHeight="true" outlineLevel="0" collapsed="false">
      <c r="A110" s="2" t="s">
        <v>368</v>
      </c>
      <c r="B110" s="2" t="s">
        <v>59</v>
      </c>
      <c r="C110" s="3" t="s">
        <v>60</v>
      </c>
      <c r="D110" s="3" t="s">
        <v>61</v>
      </c>
      <c r="E110" s="3" t="s">
        <v>369</v>
      </c>
      <c r="F110" s="3" t="s">
        <v>202</v>
      </c>
      <c r="G110" s="3" t="s">
        <v>370</v>
      </c>
      <c r="H110" s="4"/>
      <c r="I110" s="3"/>
    </row>
    <row r="111" customFormat="false" ht="72" hidden="false" customHeight="true" outlineLevel="0" collapsed="false">
      <c r="A111" s="5" t="s">
        <v>371</v>
      </c>
      <c r="B111" s="5" t="s">
        <v>66</v>
      </c>
      <c r="C111" s="6" t="s">
        <v>67</v>
      </c>
      <c r="D111" s="6" t="s">
        <v>68</v>
      </c>
      <c r="E111" s="6" t="s">
        <v>150</v>
      </c>
      <c r="F111" s="6" t="s">
        <v>21</v>
      </c>
      <c r="G111" s="6" t="s">
        <v>151</v>
      </c>
      <c r="H111" s="4"/>
      <c r="I111" s="6"/>
    </row>
    <row r="112" customFormat="false" ht="72" hidden="false" customHeight="true" outlineLevel="0" collapsed="false">
      <c r="A112" s="2" t="s">
        <v>372</v>
      </c>
      <c r="B112" s="2" t="s">
        <v>214</v>
      </c>
      <c r="C112" s="3" t="s">
        <v>215</v>
      </c>
      <c r="D112" s="3" t="s">
        <v>216</v>
      </c>
      <c r="E112" s="3" t="s">
        <v>114</v>
      </c>
      <c r="F112" s="3" t="s">
        <v>87</v>
      </c>
      <c r="G112" s="3" t="s">
        <v>115</v>
      </c>
      <c r="H112" s="4"/>
      <c r="I112" s="3"/>
    </row>
    <row r="113" customFormat="false" ht="72" hidden="false" customHeight="true" outlineLevel="0" collapsed="false">
      <c r="A113" s="5" t="s">
        <v>373</v>
      </c>
      <c r="B113" s="5" t="s">
        <v>183</v>
      </c>
      <c r="C113" s="6" t="s">
        <v>184</v>
      </c>
      <c r="D113" s="6" t="s">
        <v>185</v>
      </c>
      <c r="E113" s="6" t="s">
        <v>344</v>
      </c>
      <c r="F113" s="6" t="s">
        <v>28</v>
      </c>
      <c r="G113" s="6" t="s">
        <v>345</v>
      </c>
      <c r="H113" s="4"/>
      <c r="I113" s="6"/>
    </row>
    <row r="114" customFormat="false" ht="72" hidden="false" customHeight="true" outlineLevel="0" collapsed="false">
      <c r="A114" s="2" t="s">
        <v>374</v>
      </c>
      <c r="B114" s="2" t="s">
        <v>283</v>
      </c>
      <c r="C114" s="3" t="s">
        <v>284</v>
      </c>
      <c r="D114" s="3" t="s">
        <v>285</v>
      </c>
      <c r="E114" s="3" t="s">
        <v>161</v>
      </c>
      <c r="F114" s="3" t="s">
        <v>97</v>
      </c>
      <c r="G114" s="3" t="s">
        <v>162</v>
      </c>
      <c r="H114" s="4"/>
      <c r="I114" s="3"/>
    </row>
    <row r="115" customFormat="false" ht="72" hidden="false" customHeight="true" outlineLevel="0" collapsed="false">
      <c r="A115" s="5" t="s">
        <v>375</v>
      </c>
      <c r="B115" s="5" t="s">
        <v>10</v>
      </c>
      <c r="C115" s="6" t="s">
        <v>11</v>
      </c>
      <c r="D115" s="6" t="s">
        <v>12</v>
      </c>
      <c r="E115" s="6" t="s">
        <v>239</v>
      </c>
      <c r="F115" s="6" t="s">
        <v>21</v>
      </c>
      <c r="G115" s="6" t="s">
        <v>240</v>
      </c>
      <c r="H115" s="4"/>
      <c r="I115" s="6"/>
    </row>
  </sheetData>
  <dataValidations count="1">
    <dataValidation allowBlank="true" error="Enter 2, 1, 0, or U only." errorStyle="stop" errorTitle="Invalid grade" operator="between" showDropDown="false" showErrorMessage="true" showInputMessage="false" sqref="H2:H115" type="list">
      <formula1>"2,1,0,U"</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90"/>
  </cols>
  <sheetData>
    <row r="1" customFormat="false" ht="30" hidden="false" customHeight="true" outlineLevel="0" collapsed="false">
      <c r="A1" s="7" t="s">
        <v>376</v>
      </c>
      <c r="B1" s="8"/>
    </row>
    <row r="2" customFormat="false" ht="30" hidden="false" customHeight="true" outlineLevel="0" collapsed="false">
      <c r="A2" s="9"/>
      <c r="B2" s="8"/>
    </row>
    <row r="3" customFormat="false" ht="30" hidden="false" customHeight="true" outlineLevel="0" collapsed="false">
      <c r="A3" s="10" t="s">
        <v>377</v>
      </c>
      <c r="B3" s="8" t="s">
        <v>378</v>
      </c>
    </row>
    <row r="4" customFormat="false" ht="30" hidden="false" customHeight="true" outlineLevel="0" collapsed="false">
      <c r="A4" s="10" t="s">
        <v>379</v>
      </c>
      <c r="B4" s="8"/>
    </row>
    <row r="5" customFormat="false" ht="30" hidden="false" customHeight="true" outlineLevel="0" collapsed="false">
      <c r="A5" s="9" t="s">
        <v>380</v>
      </c>
      <c r="B5" s="8" t="s">
        <v>381</v>
      </c>
    </row>
    <row r="6" customFormat="false" ht="30" hidden="false" customHeight="true" outlineLevel="0" collapsed="false">
      <c r="A6" s="9" t="s">
        <v>382</v>
      </c>
      <c r="B6" s="8" t="s">
        <v>383</v>
      </c>
    </row>
    <row r="7" customFormat="false" ht="30" hidden="false" customHeight="true" outlineLevel="0" collapsed="false">
      <c r="A7" s="9" t="s">
        <v>384</v>
      </c>
      <c r="B7" s="8" t="s">
        <v>385</v>
      </c>
    </row>
    <row r="8" customFormat="false" ht="30" hidden="false" customHeight="true" outlineLevel="0" collapsed="false">
      <c r="A8" s="9" t="s">
        <v>386</v>
      </c>
      <c r="B8" s="8" t="s">
        <v>387</v>
      </c>
    </row>
    <row r="9" customFormat="false" ht="30" hidden="false" customHeight="true" outlineLevel="0" collapsed="false">
      <c r="A9" s="9"/>
      <c r="B9" s="8"/>
    </row>
    <row r="10" customFormat="false" ht="30" hidden="false" customHeight="true" outlineLevel="0" collapsed="false">
      <c r="A10" s="10" t="s">
        <v>388</v>
      </c>
      <c r="B10" s="8"/>
    </row>
    <row r="11" customFormat="false" ht="30" hidden="false" customHeight="true" outlineLevel="0" collapsed="false">
      <c r="A11" s="9" t="s">
        <v>382</v>
      </c>
      <c r="B11" s="8" t="s">
        <v>389</v>
      </c>
    </row>
    <row r="12" customFormat="false" ht="30" hidden="false" customHeight="true" outlineLevel="0" collapsed="false">
      <c r="A12" s="9" t="s">
        <v>380</v>
      </c>
      <c r="B12" s="8" t="s">
        <v>390</v>
      </c>
    </row>
    <row r="13" customFormat="false" ht="30" hidden="false" customHeight="true" outlineLevel="0" collapsed="false">
      <c r="A13" s="9" t="s">
        <v>391</v>
      </c>
      <c r="B13" s="8" t="s">
        <v>392</v>
      </c>
    </row>
    <row r="14" customFormat="false" ht="30" hidden="false" customHeight="true" outlineLevel="0" collapsed="false">
      <c r="A14" s="9" t="s">
        <v>393</v>
      </c>
      <c r="B14" s="8" t="s">
        <v>394</v>
      </c>
    </row>
    <row r="15" customFormat="false" ht="30" hidden="false" customHeight="true" outlineLevel="0" collapsed="false">
      <c r="A15" s="9" t="s">
        <v>395</v>
      </c>
      <c r="B15" s="8" t="s">
        <v>396</v>
      </c>
    </row>
    <row r="16" customFormat="false" ht="30" hidden="false" customHeight="true" outlineLevel="0" collapsed="false">
      <c r="A16" s="9" t="s">
        <v>397</v>
      </c>
      <c r="B16" s="8" t="s">
        <v>398</v>
      </c>
    </row>
    <row r="17" customFormat="false" ht="30" hidden="false" customHeight="true" outlineLevel="0" collapsed="false">
      <c r="A17" s="9"/>
      <c r="B17" s="8"/>
    </row>
    <row r="18" customFormat="false" ht="30" hidden="false" customHeight="true" outlineLevel="0" collapsed="false">
      <c r="A18" s="10" t="s">
        <v>399</v>
      </c>
      <c r="B18" s="8" t="s">
        <v>400</v>
      </c>
    </row>
    <row r="19" customFormat="false" ht="30" hidden="false" customHeight="true" outlineLevel="0" collapsed="false">
      <c r="A19" s="10" t="s">
        <v>401</v>
      </c>
      <c r="B19" s="8" t="s">
        <v>402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6"/>
  </cols>
  <sheetData>
    <row r="1" customFormat="false" ht="16.15" hidden="false" customHeight="false" outlineLevel="0" collapsed="false">
      <c r="A1" s="7" t="s">
        <v>403</v>
      </c>
      <c r="B1" s="9"/>
    </row>
    <row r="2" customFormat="false" ht="15" hidden="false" customHeight="false" outlineLevel="0" collapsed="false">
      <c r="A2" s="9"/>
      <c r="B2" s="9"/>
    </row>
    <row r="3" customFormat="false" ht="15" hidden="false" customHeight="false" outlineLevel="0" collapsed="false">
      <c r="A3" s="9" t="s">
        <v>404</v>
      </c>
      <c r="B3" s="9" t="n">
        <v>114</v>
      </c>
    </row>
    <row r="4" customFormat="false" ht="15" hidden="false" customHeight="false" outlineLevel="0" collapsed="false">
      <c r="A4" s="9" t="s">
        <v>405</v>
      </c>
      <c r="B4" s="9" t="n">
        <f aca="false">COUNTA(Regrade!H2:H115)</f>
        <v>0</v>
      </c>
    </row>
    <row r="5" customFormat="false" ht="15" hidden="false" customHeight="false" outlineLevel="0" collapsed="false">
      <c r="A5" s="9" t="s">
        <v>406</v>
      </c>
      <c r="B5" s="9" t="n">
        <f aca="false">B3-B4</f>
        <v>114</v>
      </c>
    </row>
    <row r="6" customFormat="false" ht="15" hidden="false" customHeight="false" outlineLevel="0" collapsed="false">
      <c r="A6" s="9" t="s">
        <v>407</v>
      </c>
      <c r="B6" s="11" t="n">
        <f aca="false">IFERROR(B4/B3,0)</f>
        <v>0</v>
      </c>
    </row>
    <row r="7" customFormat="false" ht="15" hidden="false" customHeight="false" outlineLevel="0" collapsed="false">
      <c r="A7" s="9"/>
      <c r="B7" s="9"/>
    </row>
    <row r="8" customFormat="false" ht="15" hidden="false" customHeight="false" outlineLevel="0" collapsed="false">
      <c r="A8" s="9" t="s">
        <v>408</v>
      </c>
      <c r="B8" s="9" t="n">
        <f aca="false">COUNTIF(Regrade!H2:H115,"2")</f>
        <v>0</v>
      </c>
    </row>
    <row r="9" customFormat="false" ht="15" hidden="false" customHeight="false" outlineLevel="0" collapsed="false">
      <c r="A9" s="9" t="s">
        <v>409</v>
      </c>
      <c r="B9" s="9" t="n">
        <f aca="false">COUNTIF(Regrade!H2:H115,"1")</f>
        <v>0</v>
      </c>
    </row>
    <row r="10" customFormat="false" ht="15" hidden="false" customHeight="false" outlineLevel="0" collapsed="false">
      <c r="A10" s="9" t="s">
        <v>410</v>
      </c>
      <c r="B10" s="9" t="n">
        <f aca="false">COUNTIF(Regrade!H2:H115,"0")</f>
        <v>0</v>
      </c>
    </row>
    <row r="11" customFormat="false" ht="15" hidden="false" customHeight="false" outlineLevel="0" collapsed="false">
      <c r="A11" s="9" t="s">
        <v>411</v>
      </c>
      <c r="B11" s="9" t="n">
        <f aca="false">COUNTIF(Regrade!H2:H115,"U")</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2026-07-27T19:07:25Z</dcterms:created>
  <dc:creator>openpyxl</dc:creator>
  <dc:description/>
  <dc:language>en-US</dc:language>
  <cp:lastModifiedBy/>
  <dcterms:modified xsi:type="dcterms:W3CDTF">2026-07-27T19:07:25Z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