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udging" sheetId="1" state="visible" r:id="rId1"/>
    <sheet xmlns:r="http://schemas.openxmlformats.org/officeDocument/2006/relationships" name="Instructions" sheetId="2" state="visible" r:id="rId2"/>
    <sheet xmlns:r="http://schemas.openxmlformats.org/officeDocument/2006/relationships" name="Progress" sheetId="3" state="visible" r:id="rId3"/>
  </sheets>
  <definedNames/>
</workbook>
</file>

<file path=xl/styles.xml><?xml version="1.0" encoding="utf-8"?>
<styleSheet xmlns="http://schemas.openxmlformats.org/spreadsheetml/2006/main">
  <numFmts count="1">
    <numFmt numFmtId="164" formatCode="0.0%"/>
  </numFmts>
  <fonts count="4">
    <font>
      <name val="Carlito"/>
      <sz val="11"/>
    </font>
    <font>
      <name val="Carlito"/>
      <b val="1"/>
      <color rgb="FFFFFFFF"/>
      <sz val="11"/>
    </font>
    <font>
      <name val="Carlito"/>
      <b val="1"/>
      <color rgb="FFFFFFFF"/>
      <sz val="18"/>
    </font>
    <font>
      <name val="Carlito"/>
      <b val="1"/>
      <color rgb="FF17324D"/>
      <sz val="11"/>
    </font>
  </fonts>
  <fills count="7">
    <fill>
      <patternFill/>
    </fill>
    <fill>
      <patternFill patternType="gray125"/>
    </fill>
    <fill>
      <patternFill patternType="solid">
        <fgColor rgb="FF17324D"/>
      </patternFill>
    </fill>
    <fill>
      <patternFill patternType="solid">
        <fgColor rgb="FFFFF4CC"/>
      </patternFill>
    </fill>
    <fill>
      <patternFill patternType="solid">
        <fgColor rgb="FFEEF3F8"/>
      </patternFill>
    </fill>
    <fill>
      <patternFill patternType="solid">
        <fgColor rgb="FFD9EAF7"/>
      </patternFill>
    </fill>
    <fill>
      <patternFill patternType="solid">
        <fgColor rgb="FF4F81BD"/>
      </patternFill>
    </fill>
  </fills>
  <borders count="27">
    <border/>
    <border/>
    <border>
      <left style="medium">
        <color rgb="FF17324D"/>
      </left>
      <top style="medium">
        <color rgb="FF17324D"/>
      </top>
      <bottom style="medium">
        <color rgb="FF17324D"/>
      </bottom>
    </border>
    <border>
      <top style="medium">
        <color rgb="FF17324D"/>
      </top>
      <bottom style="medium">
        <color rgb="FF17324D"/>
      </bottom>
    </border>
    <border>
      <right style="medium">
        <color rgb="FF17324D"/>
      </right>
      <top style="medium">
        <color rgb="FF17324D"/>
      </top>
      <bottom style="medium">
        <color rgb="FF17324D"/>
      </bottom>
    </border>
    <border>
      <left style="medium">
        <color rgb="FF17324D"/>
      </left>
      <top style="medium">
        <color rgb="FF17324D"/>
      </top>
      <bottom style="medium">
        <color rgb="FF17324D"/>
      </bottom>
    </border>
    <border>
      <top style="medium">
        <color rgb="FF17324D"/>
      </top>
      <bottom style="medium">
        <color rgb="FF17324D"/>
      </bottom>
    </border>
    <border>
      <right style="medium">
        <color rgb="FF17324D"/>
      </right>
      <top style="medium">
        <color rgb="FF17324D"/>
      </top>
      <bottom style="medium">
        <color rgb="FF17324D"/>
      </bottom>
    </border>
    <border>
      <bottom style="thin">
        <color rgb="FFD9E2F3"/>
      </bottom>
    </border>
    <border>
      <top style="thin">
        <color rgb="FFD9E2F3"/>
      </top>
      <bottom style="thin">
        <color rgb="FFD9E2F3"/>
      </bottom>
    </border>
    <border>
      <top style="thin">
        <color rgb="FFD9E2F3"/>
      </top>
    </border>
    <border>
      <bottom style="thin">
        <color rgb="FFD9E2F3"/>
      </bottom>
    </border>
    <border>
      <top style="thin">
        <color rgb="FFD9E2F3"/>
      </top>
      <bottom style="thin">
        <color rgb="FFD9E2F3"/>
      </bottom>
    </border>
    <border>
      <top style="thin">
        <color rgb="FFD9E2F3"/>
      </top>
    </border>
    <border>
      <left style="thin">
        <color rgb="FFA6B7C8"/>
      </left>
      <top style="thin">
        <color rgb="FFA6B7C8"/>
      </top>
    </border>
    <border>
      <right style="thin">
        <color rgb="FFA6B7C8"/>
      </right>
      <top style="thin">
        <color rgb="FFA6B7C8"/>
      </top>
    </border>
    <border>
      <left style="thin">
        <color rgb="FFA6B7C8"/>
      </left>
    </border>
    <border>
      <right style="thin">
        <color rgb="FFA6B7C8"/>
      </right>
    </border>
    <border>
      <left style="thin">
        <color rgb="FFA6B7C8"/>
      </left>
      <bottom style="thin">
        <color rgb="FFA6B7C8"/>
      </bottom>
    </border>
    <border>
      <right style="thin">
        <color rgb="FFA6B7C8"/>
      </right>
      <bottom style="thin">
        <color rgb="FFA6B7C8"/>
      </bottom>
    </border>
    <border>
      <left style="thin">
        <color rgb="FFA6B7C8"/>
      </left>
      <top style="thin">
        <color rgb="FFA6B7C8"/>
      </top>
    </border>
    <border>
      <right style="thin">
        <color rgb="FFA6B7C8"/>
      </right>
      <top style="thin">
        <color rgb="FFA6B7C8"/>
      </top>
    </border>
    <border>
      <left style="thin">
        <color rgb="FFA6B7C8"/>
      </left>
    </border>
    <border>
      <right style="thin">
        <color rgb="FFA6B7C8"/>
      </right>
    </border>
    <border>
      <left style="thin">
        <color rgb="FFA6B7C8"/>
      </left>
      <bottom style="thin">
        <color rgb="FFA6B7C8"/>
      </bottom>
    </border>
    <border>
      <right style="thin">
        <color rgb="FFA6B7C8"/>
      </right>
      <bottom style="thin">
        <color rgb="FFA6B7C8"/>
      </bottom>
    </border>
    <border>
      <left style="thin">
        <color rgb="FFD9E2F3"/>
      </left>
      <right style="thin">
        <color rgb="FFD9E2F3"/>
      </right>
      <top style="thin">
        <color rgb="FFD9E2F3"/>
      </top>
      <bottom style="thin">
        <color rgb="FFD9E2F3"/>
      </bottom>
    </border>
  </borders>
  <cellStyleXfs count="1">
    <xf numFmtId="0" fontId="0" fillId="0" borderId="1"/>
  </cellStyleXfs>
  <cellXfs count="109">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2" pivotButton="0" quotePrefix="0" xfId="0"/>
    <xf numFmtId="0" fontId="1" fillId="2" borderId="3" pivotButton="0" quotePrefix="0" xfId="0"/>
    <xf numFmtId="0" fontId="1" fillId="2" borderId="4" pivotButton="0" quotePrefix="0" xfId="0"/>
    <xf numFmtId="0" fontId="1" fillId="2" borderId="5" pivotButton="0" quotePrefix="0" xfId="0"/>
    <xf numFmtId="0" fontId="1" fillId="2" borderId="6" pivotButton="0" quotePrefix="0" xfId="0"/>
    <xf numFmtId="0" fontId="1" fillId="2" borderId="7" pivotButton="0" quotePrefix="0" xfId="0"/>
    <xf numFmtId="0" fontId="1" fillId="2" borderId="2" applyAlignment="1" pivotButton="0" quotePrefix="0" xfId="0">
      <alignment wrapText="1"/>
    </xf>
    <xf numFmtId="0" fontId="1" fillId="2" borderId="3" applyAlignment="1" pivotButton="0" quotePrefix="0" xfId="0">
      <alignment wrapText="1"/>
    </xf>
    <xf numFmtId="0" fontId="1" fillId="2" borderId="4" applyAlignment="1" pivotButton="0" quotePrefix="0" xfId="0">
      <alignment wrapText="1"/>
    </xf>
    <xf numFmtId="0" fontId="1" fillId="2" borderId="5" applyAlignment="1" pivotButton="0" quotePrefix="0" xfId="0">
      <alignment wrapText="1"/>
    </xf>
    <xf numFmtId="0" fontId="1" fillId="2" borderId="6" applyAlignment="1" pivotButton="0" quotePrefix="0" xfId="0">
      <alignment wrapText="1"/>
    </xf>
    <xf numFmtId="0" fontId="1" fillId="2" borderId="7" applyAlignment="1" pivotButton="0" quotePrefix="0" xfId="0">
      <alignment wrapText="1"/>
    </xf>
    <xf numFmtId="0" fontId="1" fillId="2" borderId="2" applyAlignment="1" pivotButton="0" quotePrefix="0" xfId="0">
      <alignment horizontal="center" wrapText="1"/>
    </xf>
    <xf numFmtId="0" fontId="1" fillId="2" borderId="3" applyAlignment="1" pivotButton="0" quotePrefix="0" xfId="0">
      <alignment horizontal="center" wrapText="1"/>
    </xf>
    <xf numFmtId="0" fontId="1" fillId="2" borderId="4" applyAlignment="1" pivotButton="0" quotePrefix="0" xfId="0">
      <alignment horizontal="center" wrapText="1"/>
    </xf>
    <xf numFmtId="0" fontId="1" fillId="2" borderId="5" applyAlignment="1" pivotButton="0" quotePrefix="0" xfId="0">
      <alignment horizontal="center" wrapText="1"/>
    </xf>
    <xf numFmtId="0" fontId="1" fillId="2" borderId="6" applyAlignment="1" pivotButton="0" quotePrefix="0" xfId="0">
      <alignment horizontal="center" wrapText="1"/>
    </xf>
    <xf numFmtId="0" fontId="1" fillId="2" borderId="7" applyAlignment="1" pivotButton="0" quotePrefix="0" xfId="0">
      <alignment horizont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8" applyAlignment="1" pivotButton="0" quotePrefix="0" xfId="0">
      <alignment wrapText="1"/>
    </xf>
    <xf numFmtId="0" fontId="0" fillId="0" borderId="9"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3" borderId="8" applyAlignment="1" pivotButton="0" quotePrefix="0" xfId="0">
      <alignment vertical="top" wrapText="1"/>
    </xf>
    <xf numFmtId="0" fontId="0" fillId="3" borderId="9" applyAlignment="1" pivotButton="0" quotePrefix="0" xfId="0">
      <alignment vertical="top" wrapText="1"/>
    </xf>
    <xf numFmtId="0" fontId="0" fillId="3" borderId="10" applyAlignment="1" pivotButton="0" quotePrefix="0" xfId="0">
      <alignment vertical="top" wrapText="1"/>
    </xf>
    <xf numFmtId="0" fontId="0" fillId="3" borderId="11" applyAlignment="1" pivotButton="0" quotePrefix="0" xfId="0">
      <alignment vertical="top" wrapText="1"/>
    </xf>
    <xf numFmtId="0" fontId="0" fillId="3" borderId="12" applyAlignment="1" pivotButton="0" quotePrefix="0" xfId="0">
      <alignment vertical="top" wrapText="1"/>
    </xf>
    <xf numFmtId="0" fontId="0" fillId="3" borderId="13" applyAlignment="1" pivotButton="0" quotePrefix="0" xfId="0">
      <alignment vertical="top" wrapText="1"/>
    </xf>
    <xf numFmtId="0" fontId="0" fillId="4" borderId="8" applyAlignment="1" pivotButton="0" quotePrefix="0" xfId="0">
      <alignment vertical="top" wrapText="1"/>
    </xf>
    <xf numFmtId="0" fontId="0" fillId="4" borderId="9" applyAlignment="1" pivotButton="0" quotePrefix="0" xfId="0">
      <alignment vertical="top" wrapText="1"/>
    </xf>
    <xf numFmtId="0" fontId="0" fillId="4" borderId="10" applyAlignment="1" pivotButton="0" quotePrefix="0" xfId="0">
      <alignment vertical="top" wrapText="1"/>
    </xf>
    <xf numFmtId="0" fontId="0" fillId="4" borderId="11" applyAlignment="1" pivotButton="0" quotePrefix="0" xfId="0">
      <alignment vertical="top" wrapText="1"/>
    </xf>
    <xf numFmtId="0" fontId="0" fillId="4" borderId="12" applyAlignment="1" pivotButton="0" quotePrefix="0" xfId="0">
      <alignment vertical="top" wrapText="1"/>
    </xf>
    <xf numFmtId="0" fontId="0" fillId="4" borderId="13" applyAlignment="1" pivotButton="0" quotePrefix="0" xfId="0">
      <alignment vertical="top" wrapText="1"/>
    </xf>
    <xf numFmtId="0" fontId="2" fillId="2" borderId="0" pivotButton="0" quotePrefix="0" xfId="0"/>
    <xf numFmtId="0" fontId="2" fillId="2" borderId="1" pivotButton="0" quotePrefix="0" xfId="0"/>
    <xf numFmtId="0" fontId="2" fillId="2" borderId="0" applyAlignment="1" pivotButton="0" quotePrefix="0" xfId="0">
      <alignment vertical="center"/>
    </xf>
    <xf numFmtId="0" fontId="2" fillId="2" borderId="1" applyAlignment="1" pivotButton="0" quotePrefix="0" xfId="0">
      <alignment vertical="center"/>
    </xf>
    <xf numFmtId="0" fontId="0" fillId="5" borderId="0" pivotButton="0" quotePrefix="0" xfId="0"/>
    <xf numFmtId="0" fontId="0" fillId="5" borderId="1" pivotButton="0" quotePrefix="0" xfId="0"/>
    <xf numFmtId="0" fontId="3" fillId="5" borderId="0" pivotButton="0" quotePrefix="0" xfId="0"/>
    <xf numFmtId="0" fontId="3" fillId="5" borderId="1" pivotButton="0" quotePrefix="0" xfId="0"/>
    <xf numFmtId="0" fontId="3" fillId="5" borderId="0" applyAlignment="1" pivotButton="0" quotePrefix="0" xfId="0">
      <alignment vertical="top"/>
    </xf>
    <xf numFmtId="0" fontId="3" fillId="5" borderId="1" applyAlignment="1" pivotButton="0" quotePrefix="0" xfId="0">
      <alignment vertical="top"/>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3" fillId="5" borderId="14" applyAlignment="1" pivotButton="0" quotePrefix="0" xfId="0">
      <alignment vertical="top"/>
    </xf>
    <xf numFmtId="0" fontId="0" fillId="0" borderId="15" applyAlignment="1" pivotButton="0" quotePrefix="0" xfId="0">
      <alignment vertical="top" wrapText="1"/>
    </xf>
    <xf numFmtId="0" fontId="3" fillId="5" borderId="16" applyAlignment="1" pivotButton="0" quotePrefix="0" xfId="0">
      <alignment vertical="top"/>
    </xf>
    <xf numFmtId="0" fontId="0" fillId="0" borderId="17" applyAlignment="1" pivotButton="0" quotePrefix="0" xfId="0">
      <alignment vertical="top" wrapText="1"/>
    </xf>
    <xf numFmtId="0" fontId="3" fillId="5" borderId="18" applyAlignment="1" pivotButton="0" quotePrefix="0" xfId="0">
      <alignment vertical="top"/>
    </xf>
    <xf numFmtId="0" fontId="0" fillId="0" borderId="19" applyAlignment="1" pivotButton="0" quotePrefix="0" xfId="0">
      <alignment vertical="top" wrapText="1"/>
    </xf>
    <xf numFmtId="0" fontId="3" fillId="5" borderId="20" applyAlignment="1" pivotButton="0" quotePrefix="0" xfId="0">
      <alignment vertical="top"/>
    </xf>
    <xf numFmtId="0" fontId="0" fillId="0" borderId="21" applyAlignment="1" pivotButton="0" quotePrefix="0" xfId="0">
      <alignment vertical="top" wrapText="1"/>
    </xf>
    <xf numFmtId="0" fontId="3" fillId="5" borderId="22" applyAlignment="1" pivotButton="0" quotePrefix="0" xfId="0">
      <alignment vertical="top"/>
    </xf>
    <xf numFmtId="0" fontId="0" fillId="0" borderId="23" applyAlignment="1" pivotButton="0" quotePrefix="0" xfId="0">
      <alignment vertical="top" wrapText="1"/>
    </xf>
    <xf numFmtId="0" fontId="3" fillId="5" borderId="24" applyAlignment="1" pivotButton="0" quotePrefix="0" xfId="0">
      <alignment vertical="top"/>
    </xf>
    <xf numFmtId="0" fontId="0" fillId="0" borderId="25" applyAlignment="1" pivotButton="0" quotePrefix="0" xfId="0">
      <alignment vertical="top" wrapText="1"/>
    </xf>
    <xf numFmtId="164" fontId="0" fillId="0" borderId="0" pivotButton="0" quotePrefix="0" xfId="0"/>
    <xf numFmtId="164" fontId="0" fillId="0" borderId="1" pivotButton="0" quotePrefix="0" xfId="0"/>
    <xf numFmtId="0" fontId="3" fillId="5" borderId="14" pivotButton="0" quotePrefix="0" xfId="0"/>
    <xf numFmtId="0" fontId="0" fillId="0" borderId="15" pivotButton="0" quotePrefix="0" xfId="0"/>
    <xf numFmtId="0" fontId="3" fillId="5" borderId="16" pivotButton="0" quotePrefix="0" xfId="0"/>
    <xf numFmtId="0" fontId="0" fillId="0" borderId="17" pivotButton="0" quotePrefix="0" xfId="0"/>
    <xf numFmtId="0" fontId="3" fillId="5" borderId="18" pivotButton="0" quotePrefix="0" xfId="0"/>
    <xf numFmtId="164" fontId="0" fillId="0" borderId="19" pivotButton="0" quotePrefix="0" xfId="0"/>
    <xf numFmtId="0" fontId="3" fillId="5" borderId="20" pivotButton="0" quotePrefix="0" xfId="0"/>
    <xf numFmtId="0" fontId="0" fillId="0" borderId="21" pivotButton="0" quotePrefix="0" xfId="0"/>
    <xf numFmtId="0" fontId="3" fillId="5" borderId="22" pivotButton="0" quotePrefix="0" xfId="0"/>
    <xf numFmtId="0" fontId="0" fillId="0" borderId="23" pivotButton="0" quotePrefix="0" xfId="0"/>
    <xf numFmtId="0" fontId="3" fillId="5" borderId="24" pivotButton="0" quotePrefix="0" xfId="0"/>
    <xf numFmtId="164" fontId="0" fillId="0" borderId="25" pivotButton="0" quotePrefix="0" xfId="0"/>
    <xf numFmtId="0" fontId="0" fillId="6" borderId="0" pivotButton="0" quotePrefix="0" xfId="0"/>
    <xf numFmtId="0" fontId="0" fillId="6" borderId="1" pivotButton="0" quotePrefix="0" xfId="0"/>
    <xf numFmtId="0" fontId="1" fillId="6" borderId="0" pivotButton="0" quotePrefix="0" xfId="0"/>
    <xf numFmtId="0" fontId="1" fillId="6" borderId="1" pivotButton="0" quotePrefix="0" xfId="0"/>
    <xf numFmtId="0" fontId="1" fillId="6" borderId="0" applyAlignment="1" pivotButton="0" quotePrefix="0" xfId="0">
      <alignment horizontal="center"/>
    </xf>
    <xf numFmtId="0" fontId="1" fillId="6" borderId="1" applyAlignment="1" pivotButton="0" quotePrefix="0" xfId="0">
      <alignment horizontal="center"/>
    </xf>
    <xf numFmtId="0" fontId="1" fillId="6" borderId="26" applyAlignment="1" pivotButton="0" quotePrefix="0" xfId="0">
      <alignment horizontal="center"/>
    </xf>
    <xf numFmtId="0" fontId="0" fillId="0" borderId="26" pivotButton="0" quotePrefix="0" xfId="0"/>
    <xf numFmtId="164" fontId="0" fillId="0" borderId="19" pivotButton="0" quotePrefix="0" xfId="0"/>
  </cellXfs>
  <cellStyles count="1">
    <cellStyle name="Normal" xfId="0"/>
  </cellStyles>
  <dxfs count="5">
    <dxf>
      <font>
        <b val="1"/>
        <color rgb="FF006100"/>
      </font>
      <fill>
        <patternFill patternType="solid">
          <bgColor rgb="FFC6EFCE"/>
        </patternFill>
      </fill>
    </dxf>
    <dxf>
      <font>
        <b val="1"/>
        <color rgb="FF9C6500"/>
      </font>
      <fill>
        <patternFill patternType="solid">
          <bgColor rgb="FFFFEB9C"/>
        </patternFill>
      </fill>
    </dxf>
    <dxf>
      <font>
        <b val="1"/>
        <color rgb="FF9C0006"/>
      </font>
      <fill>
        <patternFill patternType="solid">
          <bgColor rgb="FFFFC7CE"/>
        </patternFill>
      </fill>
    </dxf>
    <dxf>
      <font>
        <b val="1"/>
        <color rgb="FF1F4E78"/>
      </font>
      <fill>
        <patternFill patternType="solid">
          <bgColor rgb="FFD9EAF7"/>
        </patternFill>
      </fill>
    </dxf>
    <dxf>
      <font>
        <b val="1"/>
        <color rgb="FF9C0006"/>
      </font>
      <fill>
        <patternFill patternType="solid">
          <bgColor rgb="FF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756"/>
  <sheetViews>
    <sheetView showGridLines="0" workbookViewId="0">
      <selection activeCell="A1" sqref="A1"/>
    </sheetView>
  </sheetViews>
  <sheetFormatPr baseColWidth="8" defaultRowHeight="15"/>
  <cols>
    <col width="24" customWidth="1" min="1" max="1"/>
    <col width="13" customWidth="1" min="2" max="2"/>
    <col width="38" customWidth="1" min="3" max="3"/>
    <col width="44" customWidth="1" min="4" max="4"/>
    <col width="35" customWidth="1" min="5" max="5"/>
    <col width="30" customWidth="1" min="6" max="6"/>
    <col width="78" customWidth="1" min="7" max="7"/>
    <col width="15" customWidth="1" min="8" max="8"/>
    <col width="35" customWidth="1" min="9" max="9"/>
    <col width="9" customWidth="1" min="10" max="10"/>
    <col width="12" customWidth="1" min="11" max="11"/>
  </cols>
  <sheetData>
    <row r="1" ht="32" customHeight="1">
      <c r="A1" s="24" t="inlineStr">
        <is>
          <t>display_id</t>
        </is>
      </c>
      <c r="B1" s="25" t="inlineStr">
        <is>
          <t>query_id</t>
        </is>
      </c>
      <c r="C1" s="25" t="inlineStr">
        <is>
          <t>question</t>
        </is>
      </c>
      <c r="D1" s="25" t="inlineStr">
        <is>
          <t>reference_answer</t>
        </is>
      </c>
      <c r="E1" s="25" t="inlineStr">
        <is>
          <t>chunk_id</t>
        </is>
      </c>
      <c r="F1" s="25" t="inlineStr">
        <is>
          <t>source_document_title</t>
        </is>
      </c>
      <c r="G1" s="25" t="inlineStr">
        <is>
          <t>candidate_chunk</t>
        </is>
      </c>
      <c r="H1" s="25" t="inlineStr">
        <is>
          <t>relevance_grade</t>
        </is>
      </c>
      <c r="I1" s="25" t="inlineStr">
        <is>
          <t>rationale</t>
        </is>
      </c>
      <c r="J1" s="25" t="inlineStr">
        <is>
          <t>batch</t>
        </is>
      </c>
      <c r="K1" s="26" t="inlineStr">
        <is>
          <t>status</t>
        </is>
      </c>
    </row>
    <row r="2" ht="84" customHeight="1">
      <c r="A2" s="42" t="inlineStr">
        <is>
          <t>v2q-001-candidate-19</t>
        </is>
      </c>
      <c r="B2" s="42" t="inlineStr">
        <is>
          <t>v2q-001</t>
        </is>
      </c>
      <c r="C2" s="42" t="inlineStr">
        <is>
          <t>What is the minimum house size specified under PMAY-G?</t>
        </is>
      </c>
      <c r="D2" s="42" t="inlineStr">
        <is>
          <t>The minimum house size is 25 square metres, including a dedicated hygienic cooking area.</t>
        </is>
      </c>
      <c r="E2" s="42" t="inlineStr">
        <is>
          <t>pilot-v2-doc-pm-gkay-0000-c29b96f46a80</t>
        </is>
      </c>
      <c r="F2" s="42" t="inlineStr">
        <is>
          <t>Pradhan Mantri Garib Kalyan Anna Yojana</t>
        </is>
      </c>
      <c r="G2" s="42"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2" s="48" t="inlineStr">
        <is>
          <t>0</t>
        </is>
      </c>
      <c r="I2" s="48" t="str"/>
      <c r="J2" s="54">
        <f>INT((ROW()-2)/50)+1</f>
        <v/>
      </c>
      <c r="K2" s="54">
        <f>IF(H2="","Pending",IF(OR(H2="0",H2="1",H2="2",H2="U"),"Complete","Invalid"))</f>
        <v/>
      </c>
    </row>
    <row r="3" ht="84" customHeight="1">
      <c r="A3" s="43" t="inlineStr">
        <is>
          <t>v2q-004-candidate-10</t>
        </is>
      </c>
      <c r="B3" s="43" t="inlineStr">
        <is>
          <t>v2q-004</t>
        </is>
      </c>
      <c r="C3" s="43" t="inlineStr">
        <is>
          <t>What is the maximum micro-loan amount stated for PMMY?</t>
        </is>
      </c>
      <c r="D3" s="43" t="inlineStr">
        <is>
          <t>PMMY facilitates micro-credit loans up to ₹20 lakh for eligible income-generating micro-enterprises.</t>
        </is>
      </c>
      <c r="E3" s="43" t="inlineStr">
        <is>
          <t>pilot-v2-doc-pmegp-0002-f67d4c730011</t>
        </is>
      </c>
      <c r="F3" s="43" t="inlineStr">
        <is>
          <t>Prime Minister's Employment Generation Programme</t>
        </is>
      </c>
      <c r="G3" s="43" t="inlineStr">
        <is>
          <t>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The maximum cost of the project/unit admissible for Margin Money subsidy under the Manufacturing sector for upgradation is ₹10,00,00,000. The maximum subsidy would be ₹15,00,000 (₹20,00,000 for NER and Hill States). The maximum cost of the project/unit admissible for Margin Money subsidy under the Business/Service sector for upgradation is ₹25,00,000. The maximum subsidy would be ₹3,75,000 (₹5,00,000 for NER and Hill States). The balance amount (excluding the own contribution)of the total project cost will be provided by Banks. If the total project cost exceeds ₹10,00,00,000 or ₹25,00,000 for Manufacturing and Service/Business sector respectively, the balance amount may be provided by banks without any Government subsidy..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t>
        </is>
      </c>
      <c r="H3" s="49" t="inlineStr">
        <is>
          <t>0</t>
        </is>
      </c>
      <c r="I3" s="49" t="str"/>
      <c r="J3" s="55">
        <f>INT((ROW()-2)/50)+1</f>
        <v/>
      </c>
      <c r="K3" s="55">
        <f>IF(H3="","Pending",IF(OR(H3="0",H3="1",H3="2",H3="U"),"Complete","Invalid"))</f>
        <v/>
      </c>
    </row>
    <row r="4" ht="84" customHeight="1">
      <c r="A4" s="43" t="inlineStr">
        <is>
          <t>v2q-005-candidate-12</t>
        </is>
      </c>
      <c r="B4" s="43" t="inlineStr">
        <is>
          <t>v2q-005</t>
        </is>
      </c>
      <c r="C4" s="43" t="inlineStr">
        <is>
          <t>How many days of wage employment does MGNREGA guarantee a rural household in a financial year?</t>
        </is>
      </c>
      <c r="D4" s="43" t="inlineStr">
        <is>
          <t>MGNREGA guarantees at least 100 days of wage employment per financial year to a rural household whose adult members volunteer for unskilled work.</t>
        </is>
      </c>
      <c r="E4" s="43" t="inlineStr">
        <is>
          <t>pilot-v2-doc-pm-kmy-guidelines-0006-2652020c834e</t>
        </is>
      </c>
      <c r="F4" s="43" t="inlineStr">
        <is>
          <t>Pradhan Mantri Kisan Maan Dhan Yojana Operational Guidelines</t>
        </is>
      </c>
      <c r="G4" s="43" t="inlineStr">
        <is>
          <t>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is>
      </c>
      <c r="H4" s="49" t="inlineStr">
        <is>
          <t>0</t>
        </is>
      </c>
      <c r="I4" s="49" t="str"/>
      <c r="J4" s="55">
        <f>INT((ROW()-2)/50)+1</f>
        <v/>
      </c>
      <c r="K4" s="55">
        <f>IF(H4="","Pending",IF(OR(H4="0",H4="1",H4="2",H4="U"),"Complete","Invalid"))</f>
        <v/>
      </c>
    </row>
    <row r="5" ht="84" customHeight="1">
      <c r="A5" s="43" t="inlineStr">
        <is>
          <t>v2q-027-candidate-14</t>
        </is>
      </c>
      <c r="B5" s="43" t="inlineStr">
        <is>
          <t>v2q-027</t>
        </is>
      </c>
      <c r="C5" s="43" t="inlineStr">
        <is>
          <t>What livelihood mechanism does PM SVANidhi offer street vendors, and which other programme from its ministry addresses housing shortages for eligible urban households?</t>
        </is>
      </c>
      <c r="D5" s="43" t="inlineStr">
        <is>
          <t>PM SVANidhi offers street vendors collateral-free working-capital loans, interest subsidy, and digital-payment incentives. PMAY-U, under the same Ministry of Housing and Urban Affairs, provides housing support for eligible urban households.</t>
        </is>
      </c>
      <c r="E5" s="43" t="inlineStr">
        <is>
          <t>pilot-v2-doc-pm-kisan-guidelines-0000-bbe94f08550e</t>
        </is>
      </c>
      <c r="F5" s="43" t="inlineStr">
        <is>
          <t>PM-KISAN Operational Guidelines</t>
        </is>
      </c>
      <c r="G5"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5" s="49" t="inlineStr">
        <is>
          <t>0</t>
        </is>
      </c>
      <c r="I5" s="49" t="str"/>
      <c r="J5" s="55">
        <f>INT((ROW()-2)/50)+1</f>
        <v/>
      </c>
      <c r="K5" s="55">
        <f>IF(H5="","Pending",IF(OR(H5="0",H5="1",H5="2",H5="U"),"Complete","Invalid"))</f>
        <v/>
      </c>
    </row>
    <row r="6" ht="84" customHeight="1">
      <c r="A6" s="43" t="inlineStr">
        <is>
          <t>v2q-029-candidate-19</t>
        </is>
      </c>
      <c r="B6" s="43" t="inlineStr">
        <is>
          <t>v2q-029</t>
        </is>
      </c>
      <c r="C6" s="43" t="inlineStr">
        <is>
          <t>What migrant-focused facility distinguishes Ujjwala 2.0, and what clean-cooking transition was established by its predecessor programme?</t>
        </is>
      </c>
      <c r="D6" s="43" t="inlineStr">
        <is>
          <t>Ujjwala 2.0 added 1.6 crore LPG connections with a special facility for migrant households. Its predecessor, Pradhan Mantri Ujjwala Yojana, sought to replace traditional cooking fuels with LPG access for rural and deprived households.</t>
        </is>
      </c>
      <c r="E6" s="43" t="inlineStr">
        <is>
          <t>pilot-v2-doc-pm-gkay-0000-c29b96f46a80</t>
        </is>
      </c>
      <c r="F6" s="43" t="inlineStr">
        <is>
          <t>Pradhan Mantri Garib Kalyan Anna Yojana</t>
        </is>
      </c>
      <c r="G6"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6" s="49" t="inlineStr">
        <is>
          <t>0</t>
        </is>
      </c>
      <c r="I6" s="49" t="str"/>
      <c r="J6" s="55">
        <f>INT((ROW()-2)/50)+1</f>
        <v/>
      </c>
      <c r="K6" s="55">
        <f>IF(H6="","Pending",IF(OR(H6="0",H6="1",H6="2",H6="U"),"Complete","Invalid"))</f>
        <v/>
      </c>
    </row>
    <row r="7" ht="84" customHeight="1">
      <c r="A7" s="43" t="inlineStr">
        <is>
          <t>v2q-034-candidate-08</t>
        </is>
      </c>
      <c r="B7" s="43" t="inlineStr">
        <is>
          <t>v2q-034</t>
        </is>
      </c>
      <c r="C7" s="43" t="inlineStr">
        <is>
          <t>How do three programmes meet distinct household needs for rural housing, clean cooking, and food security?</t>
        </is>
      </c>
      <c r="D7" s="43" t="inlineStr">
        <is>
          <t>PMAY-G supports pucca rural housing with basic amenities; PMUY provides LPG access to deprived households replacing traditional cooking fuels; PMGKAY provides free foodgrains to eligible AAY and PHH ration-card holders.</t>
        </is>
      </c>
      <c r="E7" s="43" t="inlineStr">
        <is>
          <t>pilot-v2-doc-pmegp-0003-43256e8e6645</t>
        </is>
      </c>
      <c r="F7" s="43" t="inlineStr">
        <is>
          <t>Prime Minister's Employment Generation Programme</t>
        </is>
      </c>
      <c r="G7"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7" s="49" t="inlineStr">
        <is>
          <t>0</t>
        </is>
      </c>
      <c r="I7" s="49" t="str"/>
      <c r="J7" s="55">
        <f>INT((ROW()-2)/50)+1</f>
        <v/>
      </c>
      <c r="K7" s="55">
        <f>IF(H7="","Pending",IF(OR(H7="0",H7="1",H7="2",H7="U"),"Complete","Invalid"))</f>
        <v/>
      </c>
    </row>
    <row r="8" ht="84" customHeight="1">
      <c r="A8" s="43" t="inlineStr">
        <is>
          <t>v2q-019-candidate-22</t>
        </is>
      </c>
      <c r="B8" s="43" t="inlineStr">
        <is>
          <t>v2q-019</t>
        </is>
      </c>
      <c r="C8" s="43" t="inlineStr">
        <is>
          <t>What role does the Ministry of Petroleum and Natural Gas have in Ujjwala 2.0?</t>
        </is>
      </c>
      <c r="D8" s="43" t="inlineStr">
        <is>
          <t>The ministry introduced Ujjwala 2.0 to provide LPG connections and promote clean cooking fuel among poor, rural, and deprived households.</t>
        </is>
      </c>
      <c r="E8" s="43" t="inlineStr">
        <is>
          <t>pilot-v2-doc-apy-0000-c43dd88d7899</t>
        </is>
      </c>
      <c r="F8" s="43" t="inlineStr">
        <is>
          <t>Atal Pension Yojana</t>
        </is>
      </c>
      <c r="G8"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8" s="49" t="inlineStr">
        <is>
          <t>0</t>
        </is>
      </c>
      <c r="I8" s="49" t="str"/>
      <c r="J8" s="55">
        <f>INT((ROW()-2)/50)+1</f>
        <v/>
      </c>
      <c r="K8" s="55">
        <f>IF(H8="","Pending",IF(OR(H8="0",H8="1",H8="2",H8="U"),"Complete","Invalid"))</f>
        <v/>
      </c>
    </row>
    <row r="9" ht="84" customHeight="1">
      <c r="A9" s="43" t="inlineStr">
        <is>
          <t>v2q-007-candidate-08</t>
        </is>
      </c>
      <c r="B9" s="43" t="inlineStr">
        <is>
          <t>v2q-007</t>
        </is>
      </c>
      <c r="C9" s="43" t="inlineStr">
        <is>
          <t>What is the full form of PMJJBY, and which event does its life insurance cover?</t>
        </is>
      </c>
      <c r="D9" s="43" t="inlineStr">
        <is>
          <t>PMJJBY stands for Pradhan Mantri Jeevan Jyoti Bima Yojana and provides life-insurance cover for death due to any reason.</t>
        </is>
      </c>
      <c r="E9" s="43" t="inlineStr">
        <is>
          <t>pilot-v2-doc-pmjdy-0001-95c3d046d79a</t>
        </is>
      </c>
      <c r="F9" s="43" t="inlineStr">
        <is>
          <t>Pradhan Mantri Jan Dhan Yojana</t>
        </is>
      </c>
      <c r="G9"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9" s="49" t="inlineStr">
        <is>
          <t>0</t>
        </is>
      </c>
      <c r="I9" s="49" t="str"/>
      <c r="J9" s="55">
        <f>INT((ROW()-2)/50)+1</f>
        <v/>
      </c>
      <c r="K9" s="55">
        <f>IF(H9="","Pending",IF(OR(H9="0",H9="1",H9="2",H9="U"),"Complete","Invalid"))</f>
        <v/>
      </c>
    </row>
    <row r="10" ht="84" customHeight="1">
      <c r="A10" s="43" t="inlineStr">
        <is>
          <t>v2q-029-candidate-13</t>
        </is>
      </c>
      <c r="B10" s="43" t="inlineStr">
        <is>
          <t>v2q-029</t>
        </is>
      </c>
      <c r="C10" s="43" t="inlineStr">
        <is>
          <t>What migrant-focused facility distinguishes Ujjwala 2.0, and what clean-cooking transition was established by its predecessor programme?</t>
        </is>
      </c>
      <c r="D10" s="43" t="inlineStr">
        <is>
          <t>Ujjwala 2.0 added 1.6 crore LPG connections with a special facility for migrant households. Its predecessor, Pradhan Mantri Ujjwala Yojana, sought to replace traditional cooking fuels with LPG access for rural and deprived households.</t>
        </is>
      </c>
      <c r="E10" s="43" t="inlineStr">
        <is>
          <t>pilot-v2-doc-pmay-g-0001-db2db8af1543</t>
        </is>
      </c>
      <c r="F10" s="43" t="inlineStr">
        <is>
          <t>Pradhan Mantri Awaas Yojana - Gramin</t>
        </is>
      </c>
      <c r="G10"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10" s="49" t="inlineStr">
        <is>
          <t>0</t>
        </is>
      </c>
      <c r="I10" s="49" t="str"/>
      <c r="J10" s="55">
        <f>INT((ROW()-2)/50)+1</f>
        <v/>
      </c>
      <c r="K10" s="55">
        <f>IF(H10="","Pending",IF(OR(H10="0",H10="1",H10="2",H10="U"),"Complete","Invalid"))</f>
        <v/>
      </c>
    </row>
    <row r="11" ht="84" customHeight="1">
      <c r="A11" s="43" t="inlineStr">
        <is>
          <t>v2q-021-candidate-12</t>
        </is>
      </c>
      <c r="B11" s="43" t="inlineStr">
        <is>
          <t>v2q-021</t>
        </is>
      </c>
      <c r="C11" s="43" t="inlineStr">
        <is>
          <t>How do insurance companies and banks participate in PMFBY?</t>
        </is>
      </c>
      <c r="D11" s="43" t="inlineStr">
        <is>
          <t>PMFBY is implemented through a network of insurance companies and banks to provide crop-insurance protection to farmers.</t>
        </is>
      </c>
      <c r="E11" s="43" t="inlineStr">
        <is>
          <t>pilot-v2-doc-ab-pmjay-0001-a632a7205efc</t>
        </is>
      </c>
      <c r="F11" s="43" t="inlineStr">
        <is>
          <t>Ayushman Bharat - Pradhan Mantri Jan Arogya Yojana</t>
        </is>
      </c>
      <c r="G11"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11" s="49" t="inlineStr">
        <is>
          <t>0</t>
        </is>
      </c>
      <c r="I11" s="49" t="str"/>
      <c r="J11" s="55">
        <f>INT((ROW()-2)/50)+1</f>
        <v/>
      </c>
      <c r="K11" s="55">
        <f>IF(H11="","Pending",IF(OR(H11="0",H11="1",H11="2",H11="U"),"Complete","Invalid"))</f>
        <v/>
      </c>
    </row>
    <row r="12" ht="84" customHeight="1">
      <c r="A12" s="43" t="inlineStr">
        <is>
          <t>v2q-002-candidate-07</t>
        </is>
      </c>
      <c r="B12" s="43" t="inlineStr">
        <is>
          <t>v2q-002</t>
        </is>
      </c>
      <c r="C12" s="43" t="inlineStr">
        <is>
          <t>What maximum premium rates can farmers pay under PMFBY for Kharif, Rabi, and annual commercial or horticultural crops?</t>
        </is>
      </c>
      <c r="D12" s="43" t="inlineStr">
        <is>
          <t>Farmers pay at most 2% for Kharif food and oilseed crops, 1.5% for Rabi food and oilseed crops, and 5% for annual commercial or horticultural crops.</t>
        </is>
      </c>
      <c r="E12" s="43" t="inlineStr">
        <is>
          <t>pilot-v2-doc-pmay-g-0001-db2db8af1543</t>
        </is>
      </c>
      <c r="F12" s="43" t="inlineStr">
        <is>
          <t>Pradhan Mantri Awaas Yojana - Gramin</t>
        </is>
      </c>
      <c r="G12"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12" s="49" t="inlineStr">
        <is>
          <t>0</t>
        </is>
      </c>
      <c r="I12" s="49" t="str"/>
      <c r="J12" s="55">
        <f>INT((ROW()-2)/50)+1</f>
        <v/>
      </c>
      <c r="K12" s="55">
        <f>IF(H12="","Pending",IF(OR(H12="0",H12="1",H12="2",H12="U"),"Complete","Invalid"))</f>
        <v/>
      </c>
    </row>
    <row r="13" ht="84" customHeight="1">
      <c r="A13" s="43" t="inlineStr">
        <is>
          <t>v2q-024-candidate-10</t>
        </is>
      </c>
      <c r="B13" s="43" t="inlineStr">
        <is>
          <t>v2q-024</t>
        </is>
      </c>
      <c r="C13" s="43" t="inlineStr">
        <is>
          <t>Which national health-assurance programme does NHA implement under the health ministry?</t>
        </is>
      </c>
      <c r="D13" s="43" t="inlineStr">
        <is>
          <t>The National Health Authority implements AB-PMJAY under the Ministry of Health and Family Welfare.</t>
        </is>
      </c>
      <c r="E13" s="43" t="inlineStr">
        <is>
          <t>pilot-v2-doc-pm-janman-0002-d0844e3327b6</t>
        </is>
      </c>
      <c r="F13" s="43" t="inlineStr">
        <is>
          <t>PM Janjati Adivasi Nyaya Maha Abhiyan (PM JANMAN)</t>
        </is>
      </c>
      <c r="G13"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13" s="49" t="inlineStr">
        <is>
          <t>0</t>
        </is>
      </c>
      <c r="I13" s="49" t="str"/>
      <c r="J13" s="55">
        <f>INT((ROW()-2)/50)+1</f>
        <v/>
      </c>
      <c r="K13" s="55">
        <f>IF(H13="","Pending",IF(OR(H13="0",H13="1",H13="2",H13="U"),"Complete","Invalid"))</f>
        <v/>
      </c>
    </row>
    <row r="14" ht="84" customHeight="1">
      <c r="A14" s="43" t="inlineStr">
        <is>
          <t>v2q-024-candidate-05</t>
        </is>
      </c>
      <c r="B14" s="43" t="inlineStr">
        <is>
          <t>v2q-024</t>
        </is>
      </c>
      <c r="C14" s="43" t="inlineStr">
        <is>
          <t>Which national health-assurance programme does NHA implement under the health ministry?</t>
        </is>
      </c>
      <c r="D14" s="43" t="inlineStr">
        <is>
          <t>The National Health Authority implements AB-PMJAY under the Ministry of Health and Family Welfare.</t>
        </is>
      </c>
      <c r="E14" s="43" t="inlineStr">
        <is>
          <t>pilot-v2-doc-pmkvy-rpl-0000-c98f315c1481</t>
        </is>
      </c>
      <c r="F14" s="43" t="inlineStr">
        <is>
          <t>Pradhan Mantri Kaushal Vikas Yojana 4.0 - Recognition Of Prior Learning</t>
        </is>
      </c>
      <c r="G14" s="43" t="inlineStr">
        <is>
          <t>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is>
      </c>
      <c r="H14" s="49" t="inlineStr">
        <is>
          <t>0</t>
        </is>
      </c>
      <c r="I14" s="49" t="str"/>
      <c r="J14" s="55">
        <f>INT((ROW()-2)/50)+1</f>
        <v/>
      </c>
      <c r="K14" s="55">
        <f>IF(H14="","Pending",IF(OR(H14="0",H14="1",H14="2",H14="U"),"Complete","Invalid"))</f>
        <v/>
      </c>
    </row>
    <row r="15" ht="84" customHeight="1">
      <c r="A15" s="43" t="inlineStr">
        <is>
          <t>v2q-020-candidate-17</t>
        </is>
      </c>
      <c r="B15" s="43" t="inlineStr">
        <is>
          <t>v2q-020</t>
        </is>
      </c>
      <c r="C15" s="43" t="inlineStr">
        <is>
          <t>How do NSDC and SPIAs divide responsibility in the Special Projects arm of the national skill mission?</t>
        </is>
      </c>
      <c r="D15" s="43" t="inlineStr">
        <is>
          <t>NSDC supports the ministry’s implementation, while Special Projects Implementing Agencies deliver the projects on the ground.</t>
        </is>
      </c>
      <c r="E15" s="43" t="inlineStr">
        <is>
          <t>pilot-v2-doc-mgnrega-0002-bbbce5f319d4</t>
        </is>
      </c>
      <c r="F15" s="43" t="inlineStr">
        <is>
          <t>Mahatma Gandhi National Rural Employment Guarantee Act</t>
        </is>
      </c>
      <c r="G15"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15" s="49" t="inlineStr">
        <is>
          <t>0</t>
        </is>
      </c>
      <c r="I15" s="49" t="str"/>
      <c r="J15" s="55">
        <f>INT((ROW()-2)/50)+1</f>
        <v/>
      </c>
      <c r="K15" s="55">
        <f>IF(H15="","Pending",IF(OR(H15="0",H15="1",H15="2",H15="U"),"Complete","Invalid"))</f>
        <v/>
      </c>
    </row>
    <row r="16" ht="84" customHeight="1">
      <c r="A16" s="43" t="inlineStr">
        <is>
          <t>v2q-033-candidate-14</t>
        </is>
      </c>
      <c r="B16" s="43" t="inlineStr">
        <is>
          <t>v2q-033</t>
        </is>
      </c>
      <c r="C16" s="43" t="inlineStr">
        <is>
          <t>How do three programmes support micro-enterprises, new enterprise creation, and street-vendor livelihoods through different financial mechanisms?</t>
        </is>
      </c>
      <c r="D16" s="43" t="inlineStr">
        <is>
          <t>PMMY provides micro-credit to eligible micro-enterprises; PMEGP uses a credit-linked subsidy to establish new micro-enterprises; PM SVANidhi provides street vendors collateral-free working-capital loans, interest subsidy, and digital-payment incentives.</t>
        </is>
      </c>
      <c r="E16" s="43" t="inlineStr">
        <is>
          <t>pilot-v2-doc-pmay-g-0001-db2db8af1543</t>
        </is>
      </c>
      <c r="F16" s="43" t="inlineStr">
        <is>
          <t>Pradhan Mantri Awaas Yojana - Gramin</t>
        </is>
      </c>
      <c r="G16"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16" s="49" t="inlineStr">
        <is>
          <t>0</t>
        </is>
      </c>
      <c r="I16" s="49" t="str"/>
      <c r="J16" s="55">
        <f>INT((ROW()-2)/50)+1</f>
        <v/>
      </c>
      <c r="K16" s="55">
        <f>IF(H16="","Pending",IF(OR(H16="0",H16="1",H16="2",H16="U"),"Complete","Invalid"))</f>
        <v/>
      </c>
    </row>
    <row r="17" ht="84" customHeight="1">
      <c r="A17" s="43" t="inlineStr">
        <is>
          <t>v2q-020-candidate-20</t>
        </is>
      </c>
      <c r="B17" s="43" t="inlineStr">
        <is>
          <t>v2q-020</t>
        </is>
      </c>
      <c r="C17" s="43" t="inlineStr">
        <is>
          <t>How do NSDC and SPIAs divide responsibility in the Special Projects arm of the national skill mission?</t>
        </is>
      </c>
      <c r="D17" s="43" t="inlineStr">
        <is>
          <t>NSDC supports the ministry’s implementation, while Special Projects Implementing Agencies deliver the projects on the ground.</t>
        </is>
      </c>
      <c r="E17" s="43" t="inlineStr">
        <is>
          <t>pilot-v2-doc-pmay-g-0003-2769023a3f73</t>
        </is>
      </c>
      <c r="F17" s="43" t="inlineStr">
        <is>
          <t>Pradhan Mantri Awaas Yojana - Gramin</t>
        </is>
      </c>
      <c r="G17"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17" s="49" t="inlineStr">
        <is>
          <t>0</t>
        </is>
      </c>
      <c r="I17" s="49" t="str"/>
      <c r="J17" s="55">
        <f>INT((ROW()-2)/50)+1</f>
        <v/>
      </c>
      <c r="K17" s="55">
        <f>IF(H17="","Pending",IF(OR(H17="0",H17="1",H17="2",H17="U"),"Complete","Invalid"))</f>
        <v/>
      </c>
    </row>
    <row r="18" ht="84" customHeight="1">
      <c r="A18" s="43" t="inlineStr">
        <is>
          <t>v2q-003-candidate-06</t>
        </is>
      </c>
      <c r="B18" s="43" t="inlineStr">
        <is>
          <t>v2q-003</t>
        </is>
      </c>
      <c r="C18" s="43" t="inlineStr">
        <is>
          <t>What revised overdraft limit and RuPay accidental-insurance cover are stated for PMJDY?</t>
        </is>
      </c>
      <c r="D18" s="43" t="inlineStr">
        <is>
          <t>PMJDY states a revised overdraft limit of ₹10,000 and accidental-insurance cover of ₹2 lakh for RuPay cardholders.</t>
        </is>
      </c>
      <c r="E18" s="43" t="inlineStr">
        <is>
          <t>pilot-v2-doc-pmuy-0001-5fd4d0cd2135</t>
        </is>
      </c>
      <c r="F18" s="43" t="inlineStr">
        <is>
          <t>Pradhan Mantri Ujjwala Yojana</t>
        </is>
      </c>
      <c r="G18"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18" s="49" t="inlineStr">
        <is>
          <t>0</t>
        </is>
      </c>
      <c r="I18" s="49" t="str"/>
      <c r="J18" s="55">
        <f>INT((ROW()-2)/50)+1</f>
        <v/>
      </c>
      <c r="K18" s="55">
        <f>IF(H18="","Pending",IF(OR(H18="0",H18="1",H18="2",H18="U"),"Complete","Invalid"))</f>
        <v/>
      </c>
    </row>
    <row r="19" ht="84" customHeight="1">
      <c r="A19" s="43" t="inlineStr">
        <is>
          <t>v2q-020-candidate-12</t>
        </is>
      </c>
      <c r="B19" s="43" t="inlineStr">
        <is>
          <t>v2q-020</t>
        </is>
      </c>
      <c r="C19" s="43" t="inlineStr">
        <is>
          <t>How do NSDC and SPIAs divide responsibility in the Special Projects arm of the national skill mission?</t>
        </is>
      </c>
      <c r="D19" s="43" t="inlineStr">
        <is>
          <t>NSDC supports the ministry’s implementation, while Special Projects Implementing Agencies deliver the projects on the ground.</t>
        </is>
      </c>
      <c r="E19" s="43" t="inlineStr">
        <is>
          <t>pilot-v2-doc-pmkvy-rpl-0003-9425f5b8529a</t>
        </is>
      </c>
      <c r="F19" s="43" t="inlineStr">
        <is>
          <t>Pradhan Mantri Kaushal Vikas Yojana 4.0 - Recognition Of Prior Learning</t>
        </is>
      </c>
      <c r="G19" s="43" t="inlineStr">
        <is>
          <t>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is>
      </c>
      <c r="H19" s="49" t="inlineStr">
        <is>
          <t>1</t>
        </is>
      </c>
      <c r="I19" s="49" t="str"/>
      <c r="J19" s="55">
        <f>INT((ROW()-2)/50)+1</f>
        <v/>
      </c>
      <c r="K19" s="55">
        <f>IF(H19="","Pending",IF(OR(H19="0",H19="1",H19="2",H19="U"),"Complete","Invalid"))</f>
        <v/>
      </c>
    </row>
    <row r="20" ht="84" customHeight="1">
      <c r="A20" s="43" t="inlineStr">
        <is>
          <t>v2q-005-candidate-06</t>
        </is>
      </c>
      <c r="B20" s="43" t="inlineStr">
        <is>
          <t>v2q-005</t>
        </is>
      </c>
      <c r="C20" s="43" t="inlineStr">
        <is>
          <t>How many days of wage employment does MGNREGA guarantee a rural household in a financial year?</t>
        </is>
      </c>
      <c r="D20" s="43" t="inlineStr">
        <is>
          <t>MGNREGA guarantees at least 100 days of wage employment per financial year to a rural household whose adult members volunteer for unskilled work.</t>
        </is>
      </c>
      <c r="E20" s="43" t="inlineStr">
        <is>
          <t>pilot-v2-doc-pmay-u-0001-b64fadc4bf6b</t>
        </is>
      </c>
      <c r="F20" s="43" t="inlineStr">
        <is>
          <t>Pradhan Mantri Awas Yojana - Urban</t>
        </is>
      </c>
      <c r="G20"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20" s="49" t="inlineStr">
        <is>
          <t>0</t>
        </is>
      </c>
      <c r="I20" s="49" t="str"/>
      <c r="J20" s="55">
        <f>INT((ROW()-2)/50)+1</f>
        <v/>
      </c>
      <c r="K20" s="55">
        <f>IF(H20="","Pending",IF(OR(H20="0",H20="1",H20="2",H20="U"),"Complete","Invalid"))</f>
        <v/>
      </c>
    </row>
    <row r="21" ht="84" customHeight="1">
      <c r="A21" s="43" t="inlineStr">
        <is>
          <t>v2q-033-candidate-12</t>
        </is>
      </c>
      <c r="B21" s="43" t="inlineStr">
        <is>
          <t>v2q-033</t>
        </is>
      </c>
      <c r="C21" s="43" t="inlineStr">
        <is>
          <t>How do three programmes support micro-enterprises, new enterprise creation, and street-vendor livelihoods through different financial mechanisms?</t>
        </is>
      </c>
      <c r="D21" s="43" t="inlineStr">
        <is>
          <t>PMMY provides micro-credit to eligible micro-enterprises; PMEGP uses a credit-linked subsidy to establish new micro-enterprises; PM SVANidhi provides street vendors collateral-free working-capital loans, interest subsidy, and digital-payment incentives.</t>
        </is>
      </c>
      <c r="E21" s="43" t="inlineStr">
        <is>
          <t>pilot-v2-doc-pm-kmy-guidelines-0004-79b3bf95bb65</t>
        </is>
      </c>
      <c r="F21" s="43" t="inlineStr">
        <is>
          <t>Pradhan Mantri Kisan Maan Dhan Yojana Operational Guidelines</t>
        </is>
      </c>
      <c r="G21"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21" s="49" t="inlineStr">
        <is>
          <t>0</t>
        </is>
      </c>
      <c r="I21" s="49" t="str"/>
      <c r="J21" s="55">
        <f>INT((ROW()-2)/50)+1</f>
        <v/>
      </c>
      <c r="K21" s="55">
        <f>IF(H21="","Pending",IF(OR(H21="0",H21="1",H21="2",H21="U"),"Complete","Invalid"))</f>
        <v/>
      </c>
    </row>
    <row r="22" ht="84" customHeight="1">
      <c r="A22" s="43" t="inlineStr">
        <is>
          <t>v2q-012-candidate-23</t>
        </is>
      </c>
      <c r="B22" s="43" t="inlineStr">
        <is>
          <t>v2q-012</t>
        </is>
      </c>
      <c r="C22" s="43" t="inlineStr">
        <is>
          <t>What does PM SVANidhi stand for, and who is its intended beneficiary group?</t>
        </is>
      </c>
      <c r="D22" s="43" t="inlineStr">
        <is>
          <t>PM SVANidhi stands for PM Street Vendor’s AtmaNirbhar Nidhi and supports street vendors through working-capital and related incentives.</t>
        </is>
      </c>
      <c r="E22" s="43" t="inlineStr">
        <is>
          <t>pilot-v2-doc-ab-pmjay-0000-94c82a474579</t>
        </is>
      </c>
      <c r="F22" s="43" t="inlineStr">
        <is>
          <t>Ayushman Bharat - Pradhan Mantri Jan Arogya Yojana</t>
        </is>
      </c>
      <c r="G22"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22" s="49" t="inlineStr">
        <is>
          <t>0</t>
        </is>
      </c>
      <c r="I22" s="49" t="str"/>
      <c r="J22" s="55">
        <f>INT((ROW()-2)/50)+1</f>
        <v/>
      </c>
      <c r="K22" s="55">
        <f>IF(H22="","Pending",IF(OR(H22="0",H22="1",H22="2",H22="U"),"Complete","Invalid"))</f>
        <v/>
      </c>
    </row>
    <row r="23" ht="84" customHeight="1">
      <c r="A23" s="43" t="inlineStr">
        <is>
          <t>v2q-014-candidate-01</t>
        </is>
      </c>
      <c r="B23" s="43" t="inlineStr">
        <is>
          <t>v2q-014</t>
        </is>
      </c>
      <c r="C23" s="43" t="inlineStr">
        <is>
          <t>Under the national ration programme, what monthly cereal allocation goes to families in the poorest entitlement tier and to each person in the priority tier?</t>
        </is>
      </c>
      <c r="D23" s="43" t="inlineStr">
        <is>
          <t>AAY families receive 35 kilograms per family per month, while PHH beneficiaries receive 5 kilograms per person per month.</t>
        </is>
      </c>
      <c r="E23" s="43" t="inlineStr">
        <is>
          <t>pilot-v2-doc-pm-gkay-0000-c29b96f46a80</t>
        </is>
      </c>
      <c r="F23" s="43" t="inlineStr">
        <is>
          <t>Pradhan Mantri Garib Kalyan Anna Yojana</t>
        </is>
      </c>
      <c r="G23"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23" s="49" t="inlineStr">
        <is>
          <t>2</t>
        </is>
      </c>
      <c r="I23" s="49" t="str"/>
      <c r="J23" s="55">
        <f>INT((ROW()-2)/50)+1</f>
        <v/>
      </c>
      <c r="K23" s="55">
        <f>IF(H23="","Pending",IF(OR(H23="0",H23="1",H23="2",H23="U"),"Complete","Invalid"))</f>
        <v/>
      </c>
    </row>
    <row r="24" ht="84" customHeight="1">
      <c r="A24" s="43" t="inlineStr">
        <is>
          <t>v2q-026-candidate-22</t>
        </is>
      </c>
      <c r="B24" s="43" t="inlineStr">
        <is>
          <t>v2q-026</t>
        </is>
      </c>
      <c r="C24" s="43" t="inlineStr">
        <is>
          <t>What employment guarantee does MGNREGA provide, and which other programme from its ministry supplies pucca houses to rural households?</t>
        </is>
      </c>
      <c r="D24" s="43" t="inlineStr">
        <is>
          <t>MGNREGA guarantees at least 100 days of wage employment to qualifying rural households. PMAY-G, under the same Ministry of Rural Development, supports pucca houses with basic amenities for eligible rural households.</t>
        </is>
      </c>
      <c r="E24" s="43" t="inlineStr">
        <is>
          <t>pilot-v2-doc-pm-svanidhi-0001-e06d259b429d</t>
        </is>
      </c>
      <c r="F24" s="43" t="inlineStr">
        <is>
          <t>PM Street Vendor’s AtmaNirbhar Nidhi (PM SVANidhi)</t>
        </is>
      </c>
      <c r="G24"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24" s="49" t="inlineStr">
        <is>
          <t>0</t>
        </is>
      </c>
      <c r="I24" s="49" t="str"/>
      <c r="J24" s="55">
        <f>INT((ROW()-2)/50)+1</f>
        <v/>
      </c>
      <c r="K24" s="55">
        <f>IF(H24="","Pending",IF(OR(H24="0",H24="1",H24="2",H24="U"),"Complete","Invalid"))</f>
        <v/>
      </c>
    </row>
    <row r="25" ht="84" customHeight="1">
      <c r="A25" s="43" t="inlineStr">
        <is>
          <t>v2q-003-candidate-04</t>
        </is>
      </c>
      <c r="B25" s="43" t="inlineStr">
        <is>
          <t>v2q-003</t>
        </is>
      </c>
      <c r="C25" s="43" t="inlineStr">
        <is>
          <t>What revised overdraft limit and RuPay accidental-insurance cover are stated for PMJDY?</t>
        </is>
      </c>
      <c r="D25" s="43" t="inlineStr">
        <is>
          <t>PMJDY states a revised overdraft limit of ₹10,000 and accidental-insurance cover of ₹2 lakh for RuPay cardholders.</t>
        </is>
      </c>
      <c r="E25" s="43" t="inlineStr">
        <is>
          <t>pilot-v2-doc-pmkvy-sp-0002-dc58b95bab9b</t>
        </is>
      </c>
      <c r="F25" s="43" t="inlineStr">
        <is>
          <t>Pradhan Mantri Kaushal Vikas Yojana 4.0- Special Projects</t>
        </is>
      </c>
      <c r="G25" s="43" t="inlineStr">
        <is>
          <t>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is>
      </c>
      <c r="H25" s="49" t="inlineStr">
        <is>
          <t>0</t>
        </is>
      </c>
      <c r="I25" s="49" t="str"/>
      <c r="J25" s="55">
        <f>INT((ROW()-2)/50)+1</f>
        <v/>
      </c>
      <c r="K25" s="55">
        <f>IF(H25="","Pending",IF(OR(H25="0",H25="1",H25="2",H25="U"),"Complete","Invalid"))</f>
        <v/>
      </c>
    </row>
    <row r="26" ht="84" customHeight="1">
      <c r="A26" s="43" t="inlineStr">
        <is>
          <t>v2q-027-candidate-21</t>
        </is>
      </c>
      <c r="B26" s="43" t="inlineStr">
        <is>
          <t>v2q-027</t>
        </is>
      </c>
      <c r="C26" s="43" t="inlineStr">
        <is>
          <t>What livelihood mechanism does PM SVANidhi offer street vendors, and which other programme from its ministry addresses housing shortages for eligible urban households?</t>
        </is>
      </c>
      <c r="D26" s="43" t="inlineStr">
        <is>
          <t>PM SVANidhi offers street vendors collateral-free working-capital loans, interest subsidy, and digital-payment incentives. PMAY-U, under the same Ministry of Housing and Urban Affairs, provides housing support for eligible urban households.</t>
        </is>
      </c>
      <c r="E26" s="43" t="inlineStr">
        <is>
          <t>pilot-v2-doc-mgnrega-0001-5203a455caa6</t>
        </is>
      </c>
      <c r="F26" s="43" t="inlineStr">
        <is>
          <t>Mahatma Gandhi National Rural Employment Guarantee Act</t>
        </is>
      </c>
      <c r="G26"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26" s="49" t="inlineStr">
        <is>
          <t>0</t>
        </is>
      </c>
      <c r="I26" s="49" t="str"/>
      <c r="J26" s="55">
        <f>INT((ROW()-2)/50)+1</f>
        <v/>
      </c>
      <c r="K26" s="55">
        <f>IF(H26="","Pending",IF(OR(H26="0",H26="1",H26="2",H26="U"),"Complete","Invalid"))</f>
        <v/>
      </c>
    </row>
    <row r="27" ht="84" customHeight="1">
      <c r="A27" s="43" t="inlineStr">
        <is>
          <t>v2q-017-candidate-11</t>
        </is>
      </c>
      <c r="B27" s="43" t="inlineStr">
        <is>
          <t>v2q-017</t>
        </is>
      </c>
      <c r="C27" s="43" t="inlineStr">
        <is>
          <t>Which training route serves people no longer in education or work who need an initial occupational skill?</t>
        </is>
      </c>
      <c r="D27" s="43" t="inlineStr">
        <is>
          <t>PMKVY 4.0 Short-Term Training provides fresh skilling, reskilling, or upskilling for groups including school or college dropouts and unemployed youth.</t>
        </is>
      </c>
      <c r="E27" s="43" t="inlineStr">
        <is>
          <t>pilot-v2-doc-pmkvy-rpl-0001-9ccf0701dcf9</t>
        </is>
      </c>
      <c r="F27" s="43" t="inlineStr">
        <is>
          <t>Pradhan Mantri Kaushal Vikas Yojana 4.0 - Recognition Of Prior Learning</t>
        </is>
      </c>
      <c r="G27" s="43" t="inlineStr">
        <is>
          <t>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 at its own cost. A graded Skill Certificate and Marksheet on passing, with the grade awarded as Grade A (85% and above) or Grade B (70% to less than 85%). Conditions associated with the benefits: The pass percentage for a Qualification Pack (QP) is 70%; a candidate must achieve marks greater than or equal to 70% to be awarded the Skill Certificate. Marks scored in the Core National Occupational Standards (NOS) of a QP are given 70% weightage, and the remaining 30% weightage is from the Non-Core NOS. Certification is at the same NSQF level as determined during pre-screening. AEBAS-based compulsory attendance is applicable, and more than 70% biometric attendance is required to appear for the assessment. Indicative average unit (per-candidate) cost by RPL type RPL with upskilling (30 hours) at an Accredited and Affiliated Training Centre: ₹3,126.18 per candidate. RPL with upskilling (30 hours) at Industry premises: ₹2,826.18 per candidate. RPL with upskilling (60 hours) at an Accredited and Affiliated Training Centre: ₹3,962.88 per candidate. RPL with upskilling (60 hours) at Industry premises: ₹3,662.88 per candidate. (Note on the 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t>
        </is>
      </c>
      <c r="H27" s="49" t="inlineStr">
        <is>
          <t>1</t>
        </is>
      </c>
      <c r="I27" s="49" t="str"/>
      <c r="J27" s="55">
        <f>INT((ROW()-2)/50)+1</f>
        <v/>
      </c>
      <c r="K27" s="55">
        <f>IF(H27="","Pending",IF(OR(H27="0",H27="1",H27="2",H27="U"),"Complete","Invalid"))</f>
        <v/>
      </c>
    </row>
    <row r="28" ht="84" customHeight="1">
      <c r="A28" s="43" t="inlineStr">
        <is>
          <t>v2q-009-candidate-09</t>
        </is>
      </c>
      <c r="B28" s="43" t="inlineStr">
        <is>
          <t>v2q-009</t>
        </is>
      </c>
      <c r="C28" s="43" t="inlineStr">
        <is>
          <t>What does APY stand for, and what monthly pension range does it guarantee after age 60?</t>
        </is>
      </c>
      <c r="D28" s="43" t="inlineStr">
        <is>
          <t>APY stands for Atal Pension Yojana and offers guaranteed monthly pension options from ₹1,000 to ₹5,000 after age 60.</t>
        </is>
      </c>
      <c r="E28" s="43" t="inlineStr">
        <is>
          <t>pilot-v2-doc-pm-kisan-guidelines-0001-5ad8f250b7e2</t>
        </is>
      </c>
      <c r="F28" s="43" t="inlineStr">
        <is>
          <t>PM-KISAN Operational Guidelines</t>
        </is>
      </c>
      <c r="G28"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28" s="49" t="inlineStr">
        <is>
          <t>0</t>
        </is>
      </c>
      <c r="I28" s="49" t="str"/>
      <c r="J28" s="55">
        <f>INT((ROW()-2)/50)+1</f>
        <v/>
      </c>
      <c r="K28" s="55">
        <f>IF(H28="","Pending",IF(OR(H28="0",H28="1",H28="2",H28="U"),"Complete","Invalid"))</f>
        <v/>
      </c>
    </row>
    <row r="29" ht="84" customHeight="1">
      <c r="A29" s="43" t="inlineStr">
        <is>
          <t>v2q-001-candidate-06</t>
        </is>
      </c>
      <c r="B29" s="43" t="inlineStr">
        <is>
          <t>v2q-001</t>
        </is>
      </c>
      <c r="C29" s="43" t="inlineStr">
        <is>
          <t>What is the minimum house size specified under PMAY-G?</t>
        </is>
      </c>
      <c r="D29" s="43" t="inlineStr">
        <is>
          <t>The minimum house size is 25 square metres, including a dedicated hygienic cooking area.</t>
        </is>
      </c>
      <c r="E29" s="43" t="inlineStr">
        <is>
          <t>pilot-v2-doc-pmay-u-0000-0b5e95b2690a</t>
        </is>
      </c>
      <c r="F29" s="43" t="inlineStr">
        <is>
          <t>Pradhan Mantri Awas Yojana - Urban</t>
        </is>
      </c>
      <c r="G29"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29" s="49" t="inlineStr">
        <is>
          <t>0</t>
        </is>
      </c>
      <c r="I29" s="49" t="str"/>
      <c r="J29" s="55">
        <f>INT((ROW()-2)/50)+1</f>
        <v/>
      </c>
      <c r="K29" s="55">
        <f>IF(H29="","Pending",IF(OR(H29="0",H29="1",H29="2",H29="U"),"Complete","Invalid"))</f>
        <v/>
      </c>
    </row>
    <row r="30" ht="84" customHeight="1">
      <c r="A30" s="43" t="inlineStr">
        <is>
          <t>v2q-003-candidate-20</t>
        </is>
      </c>
      <c r="B30" s="43" t="inlineStr">
        <is>
          <t>v2q-003</t>
        </is>
      </c>
      <c r="C30" s="43" t="inlineStr">
        <is>
          <t>What revised overdraft limit and RuPay accidental-insurance cover are stated for PMJDY?</t>
        </is>
      </c>
      <c r="D30" s="43" t="inlineStr">
        <is>
          <t>PMJDY states a revised overdraft limit of ₹10,000 and accidental-insurance cover of ₹2 lakh for RuPay cardholders.</t>
        </is>
      </c>
      <c r="E30" s="43" t="inlineStr">
        <is>
          <t>pilot-v2-doc-ab-pmjay-0002-58c80bb24a6c</t>
        </is>
      </c>
      <c r="F30" s="43" t="inlineStr">
        <is>
          <t>Ayushman Bharat - Pradhan Mantri Jan Arogya Yojana</t>
        </is>
      </c>
      <c r="G30"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30" s="49" t="inlineStr">
        <is>
          <t>0</t>
        </is>
      </c>
      <c r="I30" s="49" t="str"/>
      <c r="J30" s="55">
        <f>INT((ROW()-2)/50)+1</f>
        <v/>
      </c>
      <c r="K30" s="55">
        <f>IF(H30="","Pending",IF(OR(H30="0",H30="1",H30="2",H30="U"),"Complete","Invalid"))</f>
        <v/>
      </c>
    </row>
    <row r="31" ht="84" customHeight="1">
      <c r="A31" s="43" t="inlineStr">
        <is>
          <t>v2q-028-candidate-01</t>
        </is>
      </c>
      <c r="B31" s="43" t="inlineStr">
        <is>
          <t>v2q-028</t>
        </is>
      </c>
      <c r="C31" s="43" t="inlineStr">
        <is>
          <t>What does PMKVY Recognition of Prior Learning certify, and which other pathway from its ministry serves candidates seeking fresh short-term skills training?</t>
        </is>
      </c>
      <c r="D31" s="43" t="inlineStr">
        <is>
          <t>PMKVY Recognition of Prior Learning certifies candidates’ existing skills. PMKVY Short-Term Training, under the same Ministry of Skill Development and Entrepreneurship, provides fresh skilling, reskilling, or upskilling.</t>
        </is>
      </c>
      <c r="E31" s="43" t="inlineStr">
        <is>
          <t>pilot-v2-doc-pmkvy-sp-0002-dc58b95bab9b</t>
        </is>
      </c>
      <c r="F31" s="43" t="inlineStr">
        <is>
          <t>Pradhan Mantri Kaushal Vikas Yojana 4.0- Special Projects</t>
        </is>
      </c>
      <c r="G31" s="43" t="inlineStr">
        <is>
          <t>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is>
      </c>
      <c r="H31" s="49" t="inlineStr">
        <is>
          <t>1</t>
        </is>
      </c>
      <c r="I31" s="49" t="str"/>
      <c r="J31" s="55">
        <f>INT((ROW()-2)/50)+1</f>
        <v/>
      </c>
      <c r="K31" s="55">
        <f>IF(H31="","Pending",IF(OR(H31="0",H31="1",H31="2",H31="U"),"Complete","Invalid"))</f>
        <v/>
      </c>
    </row>
    <row r="32" ht="84" customHeight="1">
      <c r="A32" s="43" t="inlineStr">
        <is>
          <t>v2q-023-candidate-24</t>
        </is>
      </c>
      <c r="B32" s="43" t="inlineStr">
        <is>
          <t>v2q-023</t>
        </is>
      </c>
      <c r="C32" s="43" t="inlineStr">
        <is>
          <t>What role does a Gram Panchayat play when a household registers for MGNREGA?</t>
        </is>
      </c>
      <c r="D32" s="43" t="inlineStr">
        <is>
          <t>A household may apply through its local Gram Panchayat, which verifies residence, household identity, and adult membership details.</t>
        </is>
      </c>
      <c r="E32" s="43" t="inlineStr">
        <is>
          <t>pilot-v2-doc-pm-gkay-0001-ccd31e120258</t>
        </is>
      </c>
      <c r="F32" s="43" t="inlineStr">
        <is>
          <t>Pradhan Mantri Garib Kalyan Anna Yojana</t>
        </is>
      </c>
      <c r="G32"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32" s="49" t="inlineStr">
        <is>
          <t>0</t>
        </is>
      </c>
      <c r="I32" s="49" t="str"/>
      <c r="J32" s="55">
        <f>INT((ROW()-2)/50)+1</f>
        <v/>
      </c>
      <c r="K32" s="55">
        <f>IF(H32="","Pending",IF(OR(H32="0",H32="1",H32="2",H32="U"),"Complete","Invalid"))</f>
        <v/>
      </c>
    </row>
    <row r="33" ht="84" customHeight="1">
      <c r="A33" s="43" t="inlineStr">
        <is>
          <t>v2q-004-candidate-01</t>
        </is>
      </c>
      <c r="B33" s="43" t="inlineStr">
        <is>
          <t>v2q-004</t>
        </is>
      </c>
      <c r="C33" s="43" t="inlineStr">
        <is>
          <t>What is the maximum micro-loan amount stated for PMMY?</t>
        </is>
      </c>
      <c r="D33" s="43" t="inlineStr">
        <is>
          <t>PMMY facilitates micro-credit loans up to ₹20 lakh for eligible income-generating micro-enterprises.</t>
        </is>
      </c>
      <c r="E33" s="43" t="inlineStr">
        <is>
          <t>pilot-v2-doc-pmay-g-0001-db2db8af1543</t>
        </is>
      </c>
      <c r="F33" s="43" t="inlineStr">
        <is>
          <t>Pradhan Mantri Awaas Yojana - Gramin</t>
        </is>
      </c>
      <c r="G33"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33" s="49" t="inlineStr">
        <is>
          <t>0</t>
        </is>
      </c>
      <c r="I33" s="49" t="str"/>
      <c r="J33" s="55">
        <f>INT((ROW()-2)/50)+1</f>
        <v/>
      </c>
      <c r="K33" s="55">
        <f>IF(H33="","Pending",IF(OR(H33="0",H33="1",H33="2",H33="U"),"Complete","Invalid"))</f>
        <v/>
      </c>
    </row>
    <row r="34" ht="84" customHeight="1">
      <c r="A34" s="43" t="inlineStr">
        <is>
          <t>v2q-019-candidate-11</t>
        </is>
      </c>
      <c r="B34" s="43" t="inlineStr">
        <is>
          <t>v2q-019</t>
        </is>
      </c>
      <c r="C34" s="43" t="inlineStr">
        <is>
          <t>What role does the Ministry of Petroleum and Natural Gas have in Ujjwala 2.0?</t>
        </is>
      </c>
      <c r="D34" s="43" t="inlineStr">
        <is>
          <t>The ministry introduced Ujjwala 2.0 to provide LPG connections and promote clean cooking fuel among poor, rural, and deprived households.</t>
        </is>
      </c>
      <c r="E34" s="43" t="inlineStr">
        <is>
          <t>pilot-v2-doc-pmay-g-0001-db2db8af1543</t>
        </is>
      </c>
      <c r="F34" s="43" t="inlineStr">
        <is>
          <t>Pradhan Mantri Awaas Yojana - Gramin</t>
        </is>
      </c>
      <c r="G34"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34" s="49" t="inlineStr">
        <is>
          <t>0</t>
        </is>
      </c>
      <c r="I34" s="49" t="str"/>
      <c r="J34" s="55">
        <f>INT((ROW()-2)/50)+1</f>
        <v/>
      </c>
      <c r="K34" s="55">
        <f>IF(H34="","Pending",IF(OR(H34="0",H34="1",H34="2",H34="U"),"Complete","Invalid"))</f>
        <v/>
      </c>
    </row>
    <row r="35" ht="84" customHeight="1">
      <c r="A35" s="43" t="inlineStr">
        <is>
          <t>v2q-029-candidate-04</t>
        </is>
      </c>
      <c r="B35" s="43" t="inlineStr">
        <is>
          <t>v2q-029</t>
        </is>
      </c>
      <c r="C35" s="43" t="inlineStr">
        <is>
          <t>What migrant-focused facility distinguishes Ujjwala 2.0, and what clean-cooking transition was established by its predecessor programme?</t>
        </is>
      </c>
      <c r="D35" s="43" t="inlineStr">
        <is>
          <t>Ujjwala 2.0 added 1.6 crore LPG connections with a special facility for migrant households. Its predecessor, Pradhan Mantri Ujjwala Yojana, sought to replace traditional cooking fuels with LPG access for rural and deprived households.</t>
        </is>
      </c>
      <c r="E35" s="43" t="inlineStr">
        <is>
          <t>pilot-v2-doc-pmay-g-0002-e08c1e347071</t>
        </is>
      </c>
      <c r="F35" s="43" t="inlineStr">
        <is>
          <t>Pradhan Mantri Awaas Yojana - Gramin</t>
        </is>
      </c>
      <c r="G35"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35" s="49" t="inlineStr">
        <is>
          <t>0</t>
        </is>
      </c>
      <c r="I35" s="49" t="str"/>
      <c r="J35" s="55">
        <f>INT((ROW()-2)/50)+1</f>
        <v/>
      </c>
      <c r="K35" s="55">
        <f>IF(H35="","Pending",IF(OR(H35="0",H35="1",H35="2",H35="U"),"Complete","Invalid"))</f>
        <v/>
      </c>
    </row>
    <row r="36" ht="84" customHeight="1">
      <c r="A36" s="43" t="inlineStr">
        <is>
          <t>v2q-026-candidate-21</t>
        </is>
      </c>
      <c r="B36" s="43" t="inlineStr">
        <is>
          <t>v2q-026</t>
        </is>
      </c>
      <c r="C36" s="43" t="inlineStr">
        <is>
          <t>What employment guarantee does MGNREGA provide, and which other programme from its ministry supplies pucca houses to rural households?</t>
        </is>
      </c>
      <c r="D36" s="43" t="inlineStr">
        <is>
          <t>MGNREGA guarantees at least 100 days of wage employment to qualifying rural households. PMAY-G, under the same Ministry of Rural Development, supports pucca houses with basic amenities for eligible rural households.</t>
        </is>
      </c>
      <c r="E36" s="43" t="inlineStr">
        <is>
          <t>pilot-v2-doc-pmay-g-0004-f8ee90715c3f</t>
        </is>
      </c>
      <c r="F36" s="43" t="inlineStr">
        <is>
          <t>Pradhan Mantri Awaas Yojana - Gramin</t>
        </is>
      </c>
      <c r="G36" s="43" t="inlineStr">
        <is>
          <t>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is>
      </c>
      <c r="H36" s="49" t="inlineStr">
        <is>
          <t>1</t>
        </is>
      </c>
      <c r="I36" s="49" t="str"/>
      <c r="J36" s="55">
        <f>INT((ROW()-2)/50)+1</f>
        <v/>
      </c>
      <c r="K36" s="55">
        <f>IF(H36="","Pending",IF(OR(H36="0",H36="1",H36="2",H36="U"),"Complete","Invalid"))</f>
        <v/>
      </c>
    </row>
    <row r="37" ht="84" customHeight="1">
      <c r="A37" s="43" t="inlineStr">
        <is>
          <t>v2q-034-candidate-04</t>
        </is>
      </c>
      <c r="B37" s="43" t="inlineStr">
        <is>
          <t>v2q-034</t>
        </is>
      </c>
      <c r="C37" s="43" t="inlineStr">
        <is>
          <t>How do three programmes meet distinct household needs for rural housing, clean cooking, and food security?</t>
        </is>
      </c>
      <c r="D37" s="43" t="inlineStr">
        <is>
          <t>PMAY-G supports pucca rural housing with basic amenities; PMUY provides LPG access to deprived households replacing traditional cooking fuels; PMGKAY provides free foodgrains to eligible AAY and PHH ration-card holders.</t>
        </is>
      </c>
      <c r="E37" s="43" t="inlineStr">
        <is>
          <t>pilot-v2-doc-mgnrega-0001-5203a455caa6</t>
        </is>
      </c>
      <c r="F37" s="43" t="inlineStr">
        <is>
          <t>Mahatma Gandhi National Rural Employment Guarantee Act</t>
        </is>
      </c>
      <c r="G37"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37" s="49" t="inlineStr">
        <is>
          <t>0</t>
        </is>
      </c>
      <c r="I37" s="49" t="str"/>
      <c r="J37" s="55">
        <f>INT((ROW()-2)/50)+1</f>
        <v/>
      </c>
      <c r="K37" s="55">
        <f>IF(H37="","Pending",IF(OR(H37="0",H37="1",H37="2",H37="U"),"Complete","Invalid"))</f>
        <v/>
      </c>
    </row>
    <row r="38" ht="84" customHeight="1">
      <c r="A38" s="43" t="inlineStr">
        <is>
          <t>v2q-023-candidate-18</t>
        </is>
      </c>
      <c r="B38" s="43" t="inlineStr">
        <is>
          <t>v2q-023</t>
        </is>
      </c>
      <c r="C38" s="43" t="inlineStr">
        <is>
          <t>What role does a Gram Panchayat play when a household registers for MGNREGA?</t>
        </is>
      </c>
      <c r="D38" s="43" t="inlineStr">
        <is>
          <t>A household may apply through its local Gram Panchayat, which verifies residence, household identity, and adult membership details.</t>
        </is>
      </c>
      <c r="E38" s="43" t="inlineStr">
        <is>
          <t>pilot-v2-doc-ab-pmjay-0003-1242266bb260</t>
        </is>
      </c>
      <c r="F38" s="43" t="inlineStr">
        <is>
          <t>Ayushman Bharat - Pradhan Mantri Jan Arogya Yojana</t>
        </is>
      </c>
      <c r="G38"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38" s="49" t="inlineStr">
        <is>
          <t>0</t>
        </is>
      </c>
      <c r="I38" s="49" t="str"/>
      <c r="J38" s="55">
        <f>INT((ROW()-2)/50)+1</f>
        <v/>
      </c>
      <c r="K38" s="55">
        <f>IF(H38="","Pending",IF(OR(H38="0",H38="1",H38="2",H38="U"),"Complete","Invalid"))</f>
        <v/>
      </c>
    </row>
    <row r="39" ht="84" customHeight="1">
      <c r="A39" s="43" t="inlineStr">
        <is>
          <t>v2q-015-candidate-11</t>
        </is>
      </c>
      <c r="B39" s="43" t="inlineStr">
        <is>
          <t>v2q-015</t>
        </is>
      </c>
      <c r="C39" s="43" t="inlineStr">
        <is>
          <t>Which initiative helps job-seekers and established craftspeople launch small businesses outside agriculture?</t>
        </is>
      </c>
      <c r="D39" s="43" t="inlineStr">
        <is>
          <t>The Prime Minister's Employment Generation Programme supports new micro-enterprises to create self-employment for traditional artisans, unemployed youth, and other eligible beneficiaries.</t>
        </is>
      </c>
      <c r="E39" s="43" t="inlineStr">
        <is>
          <t>pilot-v2-doc-pm-kisan-guidelines-0011-06191a382507</t>
        </is>
      </c>
      <c r="F39" s="43" t="inlineStr">
        <is>
          <t>PM-KISAN Operational Guidelines</t>
        </is>
      </c>
      <c r="G39" s="43" t="inlineStr">
        <is>
          <t>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 details
at a single web-portal in a uniform structure.
9.2   The PM-Kisan Portal has been created with the following objectives -
i)    To provide verified and single source of truth on farmers’ details at the portal.
ii)     Timely assistance to the farmers in farm operation
iii)   A unified e-platform for transferring of cash benefits into farmer’s bank account
      through Public Financial Management System (PFMS) integration.
iv)    Location wise availability of benefited farmers’ list.
v)    Ease of monitoring across the country on fund transaction details.
9.3   PM-Kisan Portal :
The following farmer attributes need to be entered in the Portal:
Farmer Attributes: (Essential):
       State,  District, Sub-District/Block,  Village, Farmer Name, Type  of  Identity –
     Aadhaar Number and in case Aadhaar not available, Aadhaar enrollment number
       with any other ID proof like Voter ID etc, Gender, Category, IFSC Code, Bank
      Account Number.
Farmer Attributes (Optional):
      Father name, Address, Mobile Number, Date of Birth/Age, Farm-Size in Hectare,
      Survey Number, Khasra Number
      Optional attributes such as Mobile number can be utilized for SMS alerts. Other
       optional attributes may be used for purpose of future requirement.  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t>
        </is>
      </c>
      <c r="H39" s="49" t="inlineStr">
        <is>
          <t>0</t>
        </is>
      </c>
      <c r="I39" s="49" t="str"/>
      <c r="J39" s="55">
        <f>INT((ROW()-2)/50)+1</f>
        <v/>
      </c>
      <c r="K39" s="55">
        <f>IF(H39="","Pending",IF(OR(H39="0",H39="1",H39="2",H39="U"),"Complete","Invalid"))</f>
        <v/>
      </c>
    </row>
    <row r="40" ht="84" customHeight="1">
      <c r="A40" s="43" t="inlineStr">
        <is>
          <t>v2q-024-candidate-19</t>
        </is>
      </c>
      <c r="B40" s="43" t="inlineStr">
        <is>
          <t>v2q-024</t>
        </is>
      </c>
      <c r="C40" s="43" t="inlineStr">
        <is>
          <t>Which national health-assurance programme does NHA implement under the health ministry?</t>
        </is>
      </c>
      <c r="D40" s="43" t="inlineStr">
        <is>
          <t>The National Health Authority implements AB-PMJAY under the Ministry of Health and Family Welfare.</t>
        </is>
      </c>
      <c r="E40" s="43" t="inlineStr">
        <is>
          <t>pilot-v2-doc-mgnrega-0000-7e6d80b47566</t>
        </is>
      </c>
      <c r="F40" s="43" t="inlineStr">
        <is>
          <t>Mahatma Gandhi National Rural Employment Guarantee Act</t>
        </is>
      </c>
      <c r="G40"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40" s="49" t="inlineStr">
        <is>
          <t>0</t>
        </is>
      </c>
      <c r="I40" s="49" t="str"/>
      <c r="J40" s="55">
        <f>INT((ROW()-2)/50)+1</f>
        <v/>
      </c>
      <c r="K40" s="55">
        <f>IF(H40="","Pending",IF(OR(H40="0",H40="1",H40="2",H40="U"),"Complete","Invalid"))</f>
        <v/>
      </c>
    </row>
    <row r="41" ht="84" customHeight="1">
      <c r="A41" s="43" t="inlineStr">
        <is>
          <t>v2q-018-candidate-06</t>
        </is>
      </c>
      <c r="B41" s="43" t="inlineStr">
        <is>
          <t>v2q-018</t>
        </is>
      </c>
      <c r="C41" s="43" t="inlineStr">
        <is>
          <t>Which initiative helps city households across officially defined lower and middle income bands obtain permanent homes?</t>
        </is>
      </c>
      <c r="D41" s="43" t="inlineStr">
        <is>
          <t>Pradhan Mantri Awas Yojana–Urban addresses urban housing shortages and supports eligible EWS, LIG, and MIG households, including slum dwellers.</t>
        </is>
      </c>
      <c r="E41" s="43" t="inlineStr">
        <is>
          <t>pilot-v2-doc-pmuy2-0000-95fa2d4e3b3f</t>
        </is>
      </c>
      <c r="F41" s="43" t="inlineStr">
        <is>
          <t>Pradhan Mantri Ujjwala Yojana 2.0</t>
        </is>
      </c>
      <c r="G41"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41" s="49" t="inlineStr">
        <is>
          <t>0</t>
        </is>
      </c>
      <c r="I41" s="49" t="str"/>
      <c r="J41" s="55">
        <f>INT((ROW()-2)/50)+1</f>
        <v/>
      </c>
      <c r="K41" s="55">
        <f>IF(H41="","Pending",IF(OR(H41="0",H41="1",H41="2",H41="U"),"Complete","Invalid"))</f>
        <v/>
      </c>
    </row>
    <row r="42" ht="84" customHeight="1">
      <c r="A42" s="43" t="inlineStr">
        <is>
          <t>v2q-026-candidate-19</t>
        </is>
      </c>
      <c r="B42" s="43" t="inlineStr">
        <is>
          <t>v2q-026</t>
        </is>
      </c>
      <c r="C42" s="43" t="inlineStr">
        <is>
          <t>What employment guarantee does MGNREGA provide, and which other programme from its ministry supplies pucca houses to rural households?</t>
        </is>
      </c>
      <c r="D42" s="43" t="inlineStr">
        <is>
          <t>MGNREGA guarantees at least 100 days of wage employment to qualifying rural households. PMAY-G, under the same Ministry of Rural Development, supports pucca houses with basic amenities for eligible rural households.</t>
        </is>
      </c>
      <c r="E42" s="43" t="inlineStr">
        <is>
          <t>pilot-v2-doc-pm-kisan-guidelines-0005-7d487843ff7f</t>
        </is>
      </c>
      <c r="F42" s="43" t="inlineStr">
        <is>
          <t>PM-KISAN Operational Guidelines</t>
        </is>
      </c>
      <c r="G42" s="43" t="inlineStr">
        <is>
          <t>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is>
      </c>
      <c r="H42" s="49" t="inlineStr">
        <is>
          <t>0</t>
        </is>
      </c>
      <c r="I42" s="49" t="str"/>
      <c r="J42" s="55">
        <f>INT((ROW()-2)/50)+1</f>
        <v/>
      </c>
      <c r="K42" s="55">
        <f>IF(H42="","Pending",IF(OR(H42="0",H42="1",H42="2",H42="U"),"Complete","Invalid"))</f>
        <v/>
      </c>
    </row>
    <row r="43" ht="84" customHeight="1">
      <c r="A43" s="43" t="inlineStr">
        <is>
          <t>v2q-034-candidate-02</t>
        </is>
      </c>
      <c r="B43" s="43" t="inlineStr">
        <is>
          <t>v2q-034</t>
        </is>
      </c>
      <c r="C43" s="43" t="inlineStr">
        <is>
          <t>How do three programmes meet distinct household needs for rural housing, clean cooking, and food security?</t>
        </is>
      </c>
      <c r="D43" s="43" t="inlineStr">
        <is>
          <t>PMAY-G supports pucca rural housing with basic amenities; PMUY provides LPG access to deprived households replacing traditional cooking fuels; PMGKAY provides free foodgrains to eligible AAY and PHH ration-card holders.</t>
        </is>
      </c>
      <c r="E43" s="43" t="inlineStr">
        <is>
          <t>pilot-v2-doc-pmay-g-0002-e08c1e347071</t>
        </is>
      </c>
      <c r="F43" s="43" t="inlineStr">
        <is>
          <t>Pradhan Mantri Awaas Yojana - Gramin</t>
        </is>
      </c>
      <c r="G43"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43" s="49" t="inlineStr">
        <is>
          <t>1</t>
        </is>
      </c>
      <c r="I43" s="49" t="str"/>
      <c r="J43" s="55">
        <f>INT((ROW()-2)/50)+1</f>
        <v/>
      </c>
      <c r="K43" s="55">
        <f>IF(H43="","Pending",IF(OR(H43="0",H43="1",H43="2",H43="U"),"Complete","Invalid"))</f>
        <v/>
      </c>
    </row>
    <row r="44" ht="84" customHeight="1">
      <c r="A44" s="43" t="inlineStr">
        <is>
          <t>v2q-013-candidate-10</t>
        </is>
      </c>
      <c r="B44" s="43" t="inlineStr">
        <is>
          <t>v2q-013</t>
        </is>
      </c>
      <c r="C44" s="43" t="inlineStr">
        <is>
          <t>Which initiative helps women in low-income countryside homes replace smoke-producing solid cooking materials with bottled gas?</t>
        </is>
      </c>
      <c r="D44" s="43" t="inlineStr">
        <is>
          <t>Pradhan Mantri Ujjwala Yojana provides LPG access to rural and deprived households that previously relied on traditional cooking fuels.</t>
        </is>
      </c>
      <c r="E44" s="43" t="inlineStr">
        <is>
          <t>pilot-v2-doc-pmuy2-0002-61d762b2cd43</t>
        </is>
      </c>
      <c r="F44" s="43" t="inlineStr">
        <is>
          <t>Pradhan Mantri Ujjwala Yojana 2.0</t>
        </is>
      </c>
      <c r="G44" s="43" t="inlineStr">
        <is>
          <t>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 the official website. Step 2: Select the option Apply for the New Ujjwala 2.0 Connection. Step 3: Scroll down to and click on Online Portal. and Select the LPG distribution company name example Indane / Bharatgas / HP Gas. Step 4: Click on Register Now on the selected LPG distribution company. Step 5: Select a type of Connection like Ujjwala 2.0 New Connection. Step 6: Choose the State, District, Pin Code, and Name of the Distributor. Then Enter your Mobile Number, Captcha, and OTP. Step 7: Select the type of KYC New KYC and Normal KYC. Step 8: Select Migrant Family status in YES or NO Step 9: For the family Identifier in NO fill in Annexure 1 Step 10: For family Identifier in Yes fill in Ration Card Step 11: Fill in all Family Details, Personal details, address details, bank details, Choose Cylinder Types, Select rural or urban and select the declaration and submit. Step 12: Generate the Reference number and Print your applied form attach all the documents you submitted online and visit the selected Gas agency.</t>
        </is>
      </c>
      <c r="H44" s="49" t="inlineStr">
        <is>
          <t>2</t>
        </is>
      </c>
      <c r="I44" s="49" t="str"/>
      <c r="J44" s="55">
        <f>INT((ROW()-2)/50)+1</f>
        <v/>
      </c>
      <c r="K44" s="55">
        <f>IF(H44="","Pending",IF(OR(H44="0",H44="1",H44="2",H44="U"),"Complete","Invalid"))</f>
        <v/>
      </c>
    </row>
    <row r="45" ht="84" customHeight="1">
      <c r="A45" s="43" t="inlineStr">
        <is>
          <t>v2q-021-candidate-07</t>
        </is>
      </c>
      <c r="B45" s="43" t="inlineStr">
        <is>
          <t>v2q-021</t>
        </is>
      </c>
      <c r="C45" s="43" t="inlineStr">
        <is>
          <t>How do insurance companies and banks participate in PMFBY?</t>
        </is>
      </c>
      <c r="D45" s="43" t="inlineStr">
        <is>
          <t>PMFBY is implemented through a network of insurance companies and banks to provide crop-insurance protection to farmers.</t>
        </is>
      </c>
      <c r="E45" s="43" t="inlineStr">
        <is>
          <t>pilot-v2-doc-pmfby-0005-981661f0b09d</t>
        </is>
      </c>
      <c r="F45" s="43" t="inlineStr">
        <is>
          <t>Pradhan Mantri Fasal Bima Yojna (PMFBY)</t>
        </is>
      </c>
      <c r="G45" s="43" t="inlineStr">
        <is>
          <t>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 You can track the application status on the PMFBY website through the ‘Application Status’ option on the home page. Keep copies of all documents submitted and the acknowledgement receipt for future reference. Note down the contact details of the CSC centre for any queries or assistance.</t>
        </is>
      </c>
      <c r="H45" s="49" t="inlineStr">
        <is>
          <t>1</t>
        </is>
      </c>
      <c r="I45" s="49" t="str"/>
      <c r="J45" s="55">
        <f>INT((ROW()-2)/50)+1</f>
        <v/>
      </c>
      <c r="K45" s="55">
        <f>IF(H45="","Pending",IF(OR(H45="0",H45="1",H45="2",H45="U"),"Complete","Invalid"))</f>
        <v/>
      </c>
    </row>
    <row r="46" ht="84" customHeight="1">
      <c r="A46" s="43" t="inlineStr">
        <is>
          <t>v2q-031-candidate-09</t>
        </is>
      </c>
      <c r="B46" s="43" t="inlineStr">
        <is>
          <t>v2q-031</t>
        </is>
      </c>
      <c r="C46" s="43" t="inlineStr">
        <is>
          <t>How do three finance-sector programmes combine basic banking, life insurance, and accident insurance?</t>
        </is>
      </c>
      <c r="D46" s="43" t="inlineStr">
        <is>
          <t>PMJDY provides universal banking and access to financial services; PMJJBY supplies life cover for death from any cause; PMSBY supplies accidental-death and disability cover.</t>
        </is>
      </c>
      <c r="E46" s="43" t="inlineStr">
        <is>
          <t>pilot-v2-doc-pmegp-0003-43256e8e6645</t>
        </is>
      </c>
      <c r="F46" s="43" t="inlineStr">
        <is>
          <t>Prime Minister's Employment Generation Programme</t>
        </is>
      </c>
      <c r="G46"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46" s="49" t="inlineStr">
        <is>
          <t>0</t>
        </is>
      </c>
      <c r="I46" s="49" t="str"/>
      <c r="J46" s="55">
        <f>INT((ROW()-2)/50)+1</f>
        <v/>
      </c>
      <c r="K46" s="55">
        <f>IF(H46="","Pending",IF(OR(H46="0",H46="1",H46="2",H46="U"),"Complete","Invalid"))</f>
        <v/>
      </c>
    </row>
    <row r="47" ht="84" customHeight="1">
      <c r="A47" s="43" t="inlineStr">
        <is>
          <t>v2q-022-candidate-09</t>
        </is>
      </c>
      <c r="B47" s="43" t="inlineStr">
        <is>
          <t>v2q-022</t>
        </is>
      </c>
      <c r="C47" s="43" t="inlineStr">
        <is>
          <t>Which finance programme relies on Member Lending Institutions to extend assistance to non-corporate micro-enterprises?</t>
        </is>
      </c>
      <c r="D47" s="43" t="inlineStr">
        <is>
          <t>Eligible Member Lending Institutions extend PMMY financial assistance and provide the scheme’s micro-loans to qualifying micro and small enterprises.</t>
        </is>
      </c>
      <c r="E47" s="43" t="inlineStr">
        <is>
          <t>pilot-v2-doc-pmegp-0003-43256e8e6645</t>
        </is>
      </c>
      <c r="F47" s="43" t="inlineStr">
        <is>
          <t>Prime Minister's Employment Generation Programme</t>
        </is>
      </c>
      <c r="G47"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47" s="49" t="inlineStr">
        <is>
          <t>0</t>
        </is>
      </c>
      <c r="I47" s="49" t="str"/>
      <c r="J47" s="55">
        <f>INT((ROW()-2)/50)+1</f>
        <v/>
      </c>
      <c r="K47" s="55">
        <f>IF(H47="","Pending",IF(OR(H47="0",H47="1",H47="2",H47="U"),"Complete","Invalid"))</f>
        <v/>
      </c>
    </row>
    <row r="48" ht="84" customHeight="1">
      <c r="A48" s="43" t="inlineStr">
        <is>
          <t>v2q-019-candidate-05</t>
        </is>
      </c>
      <c r="B48" s="43" t="inlineStr">
        <is>
          <t>v2q-019</t>
        </is>
      </c>
      <c r="C48" s="43" t="inlineStr">
        <is>
          <t>What role does the Ministry of Petroleum and Natural Gas have in Ujjwala 2.0?</t>
        </is>
      </c>
      <c r="D48" s="43" t="inlineStr">
        <is>
          <t>The ministry introduced Ujjwala 2.0 to provide LPG connections and promote clean cooking fuel among poor, rural, and deprived households.</t>
        </is>
      </c>
      <c r="E48" s="43" t="inlineStr">
        <is>
          <t>pilot-v2-doc-pmfby-0001-4270154049cc</t>
        </is>
      </c>
      <c r="F48" s="43" t="inlineStr">
        <is>
          <t>Pradhan Mantri Fasal Bima Yojna (PMFBY)</t>
        </is>
      </c>
      <c r="G48"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48" s="49" t="inlineStr">
        <is>
          <t>0</t>
        </is>
      </c>
      <c r="I48" s="49" t="str"/>
      <c r="J48" s="55">
        <f>INT((ROW()-2)/50)+1</f>
        <v/>
      </c>
      <c r="K48" s="55">
        <f>IF(H48="","Pending",IF(OR(H48="0",H48="1",H48="2",H48="U"),"Complete","Invalid"))</f>
        <v/>
      </c>
    </row>
    <row r="49" ht="84" customHeight="1">
      <c r="A49" s="43" t="inlineStr">
        <is>
          <t>v2q-012-candidate-26</t>
        </is>
      </c>
      <c r="B49" s="43" t="inlineStr">
        <is>
          <t>v2q-012</t>
        </is>
      </c>
      <c r="C49" s="43" t="inlineStr">
        <is>
          <t>What does PM SVANidhi stand for, and who is its intended beneficiary group?</t>
        </is>
      </c>
      <c r="D49" s="43" t="inlineStr">
        <is>
          <t>PM SVANidhi stands for PM Street Vendor’s AtmaNirbhar Nidhi and supports street vendors through working-capital and related incentives.</t>
        </is>
      </c>
      <c r="E49" s="43" t="inlineStr">
        <is>
          <t>pilot-v2-doc-mgnrega-0001-5203a455caa6</t>
        </is>
      </c>
      <c r="F49" s="43" t="inlineStr">
        <is>
          <t>Mahatma Gandhi National Rural Employment Guarantee Act</t>
        </is>
      </c>
      <c r="G49"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49" s="49" t="inlineStr">
        <is>
          <t>0</t>
        </is>
      </c>
      <c r="I49" s="49" t="str"/>
      <c r="J49" s="55">
        <f>INT((ROW()-2)/50)+1</f>
        <v/>
      </c>
      <c r="K49" s="55">
        <f>IF(H49="","Pending",IF(OR(H49="0",H49="1",H49="2",H49="U"),"Complete","Invalid"))</f>
        <v/>
      </c>
    </row>
    <row r="50" ht="84" customHeight="1">
      <c r="A50" s="43" t="inlineStr">
        <is>
          <t>v2q-014-candidate-18</t>
        </is>
      </c>
      <c r="B50" s="43" t="inlineStr">
        <is>
          <t>v2q-014</t>
        </is>
      </c>
      <c r="C50" s="43" t="inlineStr">
        <is>
          <t>Under the national ration programme, what monthly cereal allocation goes to families in the poorest entitlement tier and to each person in the priority tier?</t>
        </is>
      </c>
      <c r="D50" s="43" t="inlineStr">
        <is>
          <t>AAY families receive 35 kilograms per family per month, while PHH beneficiaries receive 5 kilograms per person per month.</t>
        </is>
      </c>
      <c r="E50" s="43" t="inlineStr">
        <is>
          <t>pilot-v2-doc-ab-pmjay-0000-94c82a474579</t>
        </is>
      </c>
      <c r="F50" s="43" t="inlineStr">
        <is>
          <t>Ayushman Bharat - Pradhan Mantri Jan Arogya Yojana</t>
        </is>
      </c>
      <c r="G50"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50" s="49" t="inlineStr">
        <is>
          <t>0</t>
        </is>
      </c>
      <c r="I50" s="49" t="str"/>
      <c r="J50" s="55">
        <f>INT((ROW()-2)/50)+1</f>
        <v/>
      </c>
      <c r="K50" s="55">
        <f>IF(H50="","Pending",IF(OR(H50="0",H50="1",H50="2",H50="U"),"Complete","Invalid"))</f>
        <v/>
      </c>
    </row>
    <row r="51" ht="84" customHeight="1">
      <c r="A51" s="43" t="inlineStr">
        <is>
          <t>v2q-006-candidate-27</t>
        </is>
      </c>
      <c r="B51" s="43" t="inlineStr">
        <is>
          <t>v2q-006</t>
        </is>
      </c>
      <c r="C51" s="43" t="inlineStr">
        <is>
          <t>What annual hospitalisation cover does AB-PMJAY provide per eligible family?</t>
        </is>
      </c>
      <c r="D51" s="43" t="inlineStr">
        <is>
          <t>AB-PMJAY provides cashless hospitalisation cover of ₹5 lakh per family per year for secondary and tertiary healthcare.</t>
        </is>
      </c>
      <c r="E51" s="43" t="inlineStr">
        <is>
          <t>pilot-v2-doc-pm-gkay-0002-9e804cd883e8</t>
        </is>
      </c>
      <c r="F51" s="43" t="inlineStr">
        <is>
          <t>Pradhan Mantri Garib Kalyan Anna Yojana</t>
        </is>
      </c>
      <c r="G51" s="43" t="inlineStr">
        <is>
          <t>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H51" s="49" t="inlineStr">
        <is>
          <t>0</t>
        </is>
      </c>
      <c r="I51" s="49" t="str"/>
      <c r="J51" s="55">
        <f>INT((ROW()-2)/50)+1</f>
        <v/>
      </c>
      <c r="K51" s="55">
        <f>IF(H51="","Pending",IF(OR(H51="0",H51="1",H51="2",H51="U"),"Complete","Invalid"))</f>
        <v/>
      </c>
    </row>
    <row r="52" ht="84" customHeight="1">
      <c r="A52" s="43" t="inlineStr">
        <is>
          <t>v2q-008-candidate-01</t>
        </is>
      </c>
      <c r="B52" s="43" t="inlineStr">
        <is>
          <t>v2q-008</t>
        </is>
      </c>
      <c r="C52" s="43" t="inlineStr">
        <is>
          <t>Which accident-insurance programme is abbreviated PMSBY, and which outcomes trigger its cover?</t>
        </is>
      </c>
      <c r="D52" s="43" t="inlineStr">
        <is>
          <t>PMSBY stands for Pradhan Mantri Suraksha Bima Yojana and covers accidental death and disability.</t>
        </is>
      </c>
      <c r="E52" s="43" t="inlineStr">
        <is>
          <t>pilot-v2-doc-pm-kisan-guidelines-0010-3f4cd01daefd</t>
        </is>
      </c>
      <c r="F52" s="43" t="inlineStr">
        <is>
          <t>PM-KISAN Operational Guidelines</t>
        </is>
      </c>
      <c r="G52" s="43" t="inlineStr">
        <is>
          <t>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   will  designate  a  Nodal  Department  for
implementation of the scheme and coordinating with Central Government with regard to
implementation of Income Support Scheme.
8.3  On the lines of PMU at central level, States  / UTs may consider setting up
dedicated Project Monitoring Units at State  / UT Level. 0.125% for the amount of
installments transferred to beneficiaries can be transferred by Central Government to
State / UT Government to cover the expenditure on their PMUs, if established and for
meeting  other  related  administrative expenses  including  cost  to be  incurred  for
procurement  of  stationary,  field  verification,   filling  of  prescribed  formats,  their
certification and its uploading as well as incentive for field functionaries, publicity, etc.
States / UTs will furnish the details of the account to which Administrative Charges are
credited by the Central Government. The administrative charges payable to the States /
UTs will be provided by Government of India based on the volume of work and the
number of beneficiaries.
                                         7
9.    PM-Kisan Portal for implementation of the scheme (Beneficiary Details
uploading by State)
9.1    Beneficiaries under the scheme are 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t>
        </is>
      </c>
      <c r="H52" s="49" t="inlineStr">
        <is>
          <t>0</t>
        </is>
      </c>
      <c r="I52" s="49" t="str"/>
      <c r="J52" s="55">
        <f>INT((ROW()-2)/50)+1</f>
        <v/>
      </c>
      <c r="K52" s="55">
        <f>IF(H52="","Pending",IF(OR(H52="0",H52="1",H52="2",H52="U"),"Complete","Invalid"))</f>
        <v/>
      </c>
    </row>
    <row r="53" ht="84" customHeight="1">
      <c r="A53" s="43" t="inlineStr">
        <is>
          <t>v2q-008-candidate-04</t>
        </is>
      </c>
      <c r="B53" s="43" t="inlineStr">
        <is>
          <t>v2q-008</t>
        </is>
      </c>
      <c r="C53" s="43" t="inlineStr">
        <is>
          <t>Which accident-insurance programme is abbreviated PMSBY, and which outcomes trigger its cover?</t>
        </is>
      </c>
      <c r="D53" s="43" t="inlineStr">
        <is>
          <t>PMSBY stands for Pradhan Mantri Suraksha Bima Yojana and covers accidental death and disability.</t>
        </is>
      </c>
      <c r="E53" s="43" t="inlineStr">
        <is>
          <t>pilot-v2-doc-pmsby-0000-0f297846df39</t>
        </is>
      </c>
      <c r="F53" s="43" t="inlineStr">
        <is>
          <t>Pradhan Mantri Suraksha Bima Yojana</t>
        </is>
      </c>
      <c r="G53"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53" s="49" t="inlineStr">
        <is>
          <t>2</t>
        </is>
      </c>
      <c r="I53" s="49" t="str"/>
      <c r="J53" s="55">
        <f>INT((ROW()-2)/50)+1</f>
        <v/>
      </c>
      <c r="K53" s="55">
        <f>IF(H53="","Pending",IF(OR(H53="0",H53="1",H53="2",H53="U"),"Complete","Invalid"))</f>
        <v/>
      </c>
    </row>
    <row r="54" ht="84" customHeight="1">
      <c r="A54" s="43" t="inlineStr">
        <is>
          <t>v2q-030-candidate-03</t>
        </is>
      </c>
      <c r="B54" s="43" t="inlineStr">
        <is>
          <t>v2q-030</t>
        </is>
      </c>
      <c r="C54" s="43" t="inlineStr">
        <is>
          <t>What retirement benefit does APY offer, and which life-insurance programme administered through the same department covers death from any cause?</t>
        </is>
      </c>
      <c r="D54" s="43" t="inlineStr">
        <is>
          <t>APY offers guaranteed monthly pension options after age 60. PMJJBY, associated with the same Department of Financial Services, provides life cover for death due to any reason.</t>
        </is>
      </c>
      <c r="E54" s="43" t="inlineStr">
        <is>
          <t>pilot-v2-doc-pm-kmy-guidelines-0004-79b3bf95bb65</t>
        </is>
      </c>
      <c r="F54" s="43" t="inlineStr">
        <is>
          <t>Pradhan Mantri Kisan Maan Dhan Yojana Operational Guidelines</t>
        </is>
      </c>
      <c r="G54"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54" s="49" t="inlineStr">
        <is>
          <t>0</t>
        </is>
      </c>
      <c r="I54" s="49" t="str"/>
      <c r="J54" s="55">
        <f>INT((ROW()-2)/50)+1</f>
        <v/>
      </c>
      <c r="K54" s="55">
        <f>IF(H54="","Pending",IF(OR(H54="0",H54="1",H54="2",H54="U"),"Complete","Invalid"))</f>
        <v/>
      </c>
    </row>
    <row r="55" ht="84" customHeight="1">
      <c r="A55" s="43" t="inlineStr">
        <is>
          <t>v2q-027-candidate-04</t>
        </is>
      </c>
      <c r="B55" s="43" t="inlineStr">
        <is>
          <t>v2q-027</t>
        </is>
      </c>
      <c r="C55" s="43" t="inlineStr">
        <is>
          <t>What livelihood mechanism does PM SVANidhi offer street vendors, and which other programme from its ministry addresses housing shortages for eligible urban households?</t>
        </is>
      </c>
      <c r="D55" s="43" t="inlineStr">
        <is>
          <t>PM SVANidhi offers street vendors collateral-free working-capital loans, interest subsidy, and digital-payment incentives. PMAY-U, under the same Ministry of Housing and Urban Affairs, provides housing support for eligible urban households.</t>
        </is>
      </c>
      <c r="E55" s="43" t="inlineStr">
        <is>
          <t>pilot-v2-doc-pm-svanidhi-0000-f6024bb09ca5</t>
        </is>
      </c>
      <c r="F55" s="43" t="inlineStr">
        <is>
          <t>PM Street Vendor’s AtmaNirbhar Nidhi (PM SVANidhi)</t>
        </is>
      </c>
      <c r="G55"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55" s="49" t="inlineStr">
        <is>
          <t>2</t>
        </is>
      </c>
      <c r="I55" s="49" t="str"/>
      <c r="J55" s="55">
        <f>INT((ROW()-2)/50)+1</f>
        <v/>
      </c>
      <c r="K55" s="55">
        <f>IF(H55="","Pending",IF(OR(H55="0",H55="1",H55="2",H55="U"),"Complete","Invalid"))</f>
        <v/>
      </c>
    </row>
    <row r="56" ht="84" customHeight="1">
      <c r="A56" s="43" t="inlineStr">
        <is>
          <t>v2q-003-candidate-01</t>
        </is>
      </c>
      <c r="B56" s="43" t="inlineStr">
        <is>
          <t>v2q-003</t>
        </is>
      </c>
      <c r="C56" s="43" t="inlineStr">
        <is>
          <t>What revised overdraft limit and RuPay accidental-insurance cover are stated for PMJDY?</t>
        </is>
      </c>
      <c r="D56" s="43" t="inlineStr">
        <is>
          <t>PMJDY states a revised overdraft limit of ₹10,000 and accidental-insurance cover of ₹2 lakh for RuPay cardholders.</t>
        </is>
      </c>
      <c r="E56" s="43" t="inlineStr">
        <is>
          <t>pilot-v2-doc-pmjdy-0001-95c3d046d79a</t>
        </is>
      </c>
      <c r="F56" s="43" t="inlineStr">
        <is>
          <t>Pradhan Mantri Jan Dhan Yojana</t>
        </is>
      </c>
      <c r="G56"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56" s="49" t="inlineStr">
        <is>
          <t>2</t>
        </is>
      </c>
      <c r="I56" s="49" t="str"/>
      <c r="J56" s="55">
        <f>INT((ROW()-2)/50)+1</f>
        <v/>
      </c>
      <c r="K56" s="55">
        <f>IF(H56="","Pending",IF(OR(H56="0",H56="1",H56="2",H56="U"),"Complete","Invalid"))</f>
        <v/>
      </c>
    </row>
    <row r="57" ht="84" customHeight="1">
      <c r="A57" s="43" t="inlineStr">
        <is>
          <t>v2q-008-candidate-05</t>
        </is>
      </c>
      <c r="B57" s="43" t="inlineStr">
        <is>
          <t>v2q-008</t>
        </is>
      </c>
      <c r="C57" s="43" t="inlineStr">
        <is>
          <t>Which accident-insurance programme is abbreviated PMSBY, and which outcomes trigger its cover?</t>
        </is>
      </c>
      <c r="D57" s="43" t="inlineStr">
        <is>
          <t>PMSBY stands for Pradhan Mantri Suraksha Bima Yojana and covers accidental death and disability.</t>
        </is>
      </c>
      <c r="E57" s="43" t="inlineStr">
        <is>
          <t>pilot-v2-doc-pmsby-0001-8851a01ce006</t>
        </is>
      </c>
      <c r="F57" s="43" t="inlineStr">
        <is>
          <t>Pradhan Mantri Suraksha Bima Yojana</t>
        </is>
      </c>
      <c r="G57" s="43" t="inlineStr">
        <is>
          <t>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Free Number - 1800-180-1111 / 1800-110-001. One can also avail cover under PMSBY online using their bank's Net banking facility.</t>
        </is>
      </c>
      <c r="H57" s="49" t="inlineStr">
        <is>
          <t>1</t>
        </is>
      </c>
      <c r="I57" s="49" t="str"/>
      <c r="J57" s="55">
        <f>INT((ROW()-2)/50)+1</f>
        <v/>
      </c>
      <c r="K57" s="55">
        <f>IF(H57="","Pending",IF(OR(H57="0",H57="1",H57="2",H57="U"),"Complete","Invalid"))</f>
        <v/>
      </c>
    </row>
    <row r="58" ht="84" customHeight="1">
      <c r="A58" s="43" t="inlineStr">
        <is>
          <t>v2q-011-candidate-03</t>
        </is>
      </c>
      <c r="B58" s="43" t="inlineStr">
        <is>
          <t>v2q-011</t>
        </is>
      </c>
      <c r="C58" s="43" t="inlineStr">
        <is>
          <t>What does PM JANMAN stand for, and which communities does it target?</t>
        </is>
      </c>
      <c r="D58" s="43" t="inlineStr">
        <is>
          <t>PM JANMAN stands for PM Janjati Adivasi Nyaya Maha Abhiyan and targets Particularly Vulnerable Tribal Groups.</t>
        </is>
      </c>
      <c r="E58" s="43" t="inlineStr">
        <is>
          <t>pilot-v2-doc-pmmy-0000-70a89ee32765</t>
        </is>
      </c>
      <c r="F58" s="43" t="inlineStr">
        <is>
          <t>Pradhan Mantri Mudra Yojana</t>
        </is>
      </c>
      <c r="G58"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58" s="49" t="inlineStr">
        <is>
          <t>0</t>
        </is>
      </c>
      <c r="I58" s="49" t="str"/>
      <c r="J58" s="55">
        <f>INT((ROW()-2)/50)+1</f>
        <v/>
      </c>
      <c r="K58" s="55">
        <f>IF(H58="","Pending",IF(OR(H58="0",H58="1",H58="2",H58="U"),"Complete","Invalid"))</f>
        <v/>
      </c>
    </row>
    <row r="59" ht="84" customHeight="1">
      <c r="A59" s="43" t="inlineStr">
        <is>
          <t>v2q-026-candidate-09</t>
        </is>
      </c>
      <c r="B59" s="43" t="inlineStr">
        <is>
          <t>v2q-026</t>
        </is>
      </c>
      <c r="C59" s="43" t="inlineStr">
        <is>
          <t>What employment guarantee does MGNREGA provide, and which other programme from its ministry supplies pucca houses to rural households?</t>
        </is>
      </c>
      <c r="D59" s="43" t="inlineStr">
        <is>
          <t>MGNREGA guarantees at least 100 days of wage employment to qualifying rural households. PMAY-G, under the same Ministry of Rural Development, supports pucca houses with basic amenities for eligible rural households.</t>
        </is>
      </c>
      <c r="E59" s="43" t="inlineStr">
        <is>
          <t>pilot-v2-doc-pmay-g-0001-db2db8af1543</t>
        </is>
      </c>
      <c r="F59" s="43" t="inlineStr">
        <is>
          <t>Pradhan Mantri Awaas Yojana - Gramin</t>
        </is>
      </c>
      <c r="G59"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59" s="49" t="inlineStr">
        <is>
          <t>2</t>
        </is>
      </c>
      <c r="I59" s="49" t="str"/>
      <c r="J59" s="55">
        <f>INT((ROW()-2)/50)+1</f>
        <v/>
      </c>
      <c r="K59" s="55">
        <f>IF(H59="","Pending",IF(OR(H59="0",H59="1",H59="2",H59="U"),"Complete","Invalid"))</f>
        <v/>
      </c>
    </row>
    <row r="60" ht="84" customHeight="1">
      <c r="A60" s="43" t="inlineStr">
        <is>
          <t>v2q-023-candidate-21</t>
        </is>
      </c>
      <c r="B60" s="43" t="inlineStr">
        <is>
          <t>v2q-023</t>
        </is>
      </c>
      <c r="C60" s="43" t="inlineStr">
        <is>
          <t>What role does a Gram Panchayat play when a household registers for MGNREGA?</t>
        </is>
      </c>
      <c r="D60" s="43" t="inlineStr">
        <is>
          <t>A household may apply through its local Gram Panchayat, which verifies residence, household identity, and adult membership details.</t>
        </is>
      </c>
      <c r="E60" s="43" t="inlineStr">
        <is>
          <t>pilot-v2-doc-pmuy-0001-5fd4d0cd2135</t>
        </is>
      </c>
      <c r="F60" s="43" t="inlineStr">
        <is>
          <t>Pradhan Mantri Ujjwala Yojana</t>
        </is>
      </c>
      <c r="G60"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60" s="49" t="inlineStr">
        <is>
          <t>0</t>
        </is>
      </c>
      <c r="I60" s="49" t="str"/>
      <c r="J60" s="55">
        <f>INT((ROW()-2)/50)+1</f>
        <v/>
      </c>
      <c r="K60" s="55">
        <f>IF(H60="","Pending",IF(OR(H60="0",H60="1",H60="2",H60="U"),"Complete","Invalid"))</f>
        <v/>
      </c>
    </row>
    <row r="61" ht="84" customHeight="1">
      <c r="A61" s="43" t="inlineStr">
        <is>
          <t>v2q-011-candidate-06</t>
        </is>
      </c>
      <c r="B61" s="43" t="inlineStr">
        <is>
          <t>v2q-011</t>
        </is>
      </c>
      <c r="C61" s="43" t="inlineStr">
        <is>
          <t>What does PM JANMAN stand for, and which communities does it target?</t>
        </is>
      </c>
      <c r="D61" s="43" t="inlineStr">
        <is>
          <t>PM JANMAN stands for PM Janjati Adivasi Nyaya Maha Abhiyan and targets Particularly Vulnerable Tribal Groups.</t>
        </is>
      </c>
      <c r="E61" s="43" t="inlineStr">
        <is>
          <t>pilot-v2-doc-pm-janman-0001-0deee4377b38</t>
        </is>
      </c>
      <c r="F61" s="43" t="inlineStr">
        <is>
          <t>PM Janjati Adivasi Nyaya Maha Abhiyan (PM JANMAN)</t>
        </is>
      </c>
      <c r="G61"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61" s="49" t="inlineStr">
        <is>
          <t>2</t>
        </is>
      </c>
      <c r="I61" s="49" t="str"/>
      <c r="J61" s="55">
        <f>INT((ROW()-2)/50)+1</f>
        <v/>
      </c>
      <c r="K61" s="55">
        <f>IF(H61="","Pending",IF(OR(H61="0",H61="1",H61="2",H61="U"),"Complete","Invalid"))</f>
        <v/>
      </c>
    </row>
    <row r="62" ht="84" customHeight="1">
      <c r="A62" s="43" t="inlineStr">
        <is>
          <t>v2q-010-candidate-09</t>
        </is>
      </c>
      <c r="B62" s="43" t="inlineStr">
        <is>
          <t>v2q-010</t>
        </is>
      </c>
      <c r="C62" s="43" t="inlineStr">
        <is>
          <t>What is the full form of PM POSHAN, and what meal benefit does it provide?</t>
        </is>
      </c>
      <c r="D62" s="43" t="inlineStr">
        <is>
          <t>PM POSHAN means Prime Minister's Overarching Scheme for Holistic Nourishment and provides one hot cooked meal to children in government and government-aided schools.</t>
        </is>
      </c>
      <c r="E62" s="43" t="inlineStr">
        <is>
          <t>pilot-v2-doc-pm-kmy-guidelines-0004-79b3bf95bb65</t>
        </is>
      </c>
      <c r="F62" s="43" t="inlineStr">
        <is>
          <t>Pradhan Mantri Kisan Maan Dhan Yojana Operational Guidelines</t>
        </is>
      </c>
      <c r="G62"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62" s="49" t="inlineStr">
        <is>
          <t>0</t>
        </is>
      </c>
      <c r="I62" s="49" t="str"/>
      <c r="J62" s="55">
        <f>INT((ROW()-2)/50)+1</f>
        <v/>
      </c>
      <c r="K62" s="55">
        <f>IF(H62="","Pending",IF(OR(H62="0",H62="1",H62="2",H62="U"),"Complete","Invalid"))</f>
        <v/>
      </c>
    </row>
    <row r="63" ht="84" customHeight="1">
      <c r="A63" s="43" t="inlineStr">
        <is>
          <t>v2q-015-candidate-16</t>
        </is>
      </c>
      <c r="B63" s="43" t="inlineStr">
        <is>
          <t>v2q-015</t>
        </is>
      </c>
      <c r="C63" s="43" t="inlineStr">
        <is>
          <t>Which initiative helps job-seekers and established craftspeople launch small businesses outside agriculture?</t>
        </is>
      </c>
      <c r="D63" s="43" t="inlineStr">
        <is>
          <t>The Prime Minister's Employment Generation Programme supports new micro-enterprises to create self-employment for traditional artisans, unemployed youth, and other eligible beneficiaries.</t>
        </is>
      </c>
      <c r="E63" s="43" t="inlineStr">
        <is>
          <t>pilot-v2-doc-pmkvy-sp-0000-0fc5cf1d7fb0</t>
        </is>
      </c>
      <c r="F63" s="43" t="inlineStr">
        <is>
          <t>Pradhan Mantri Kaushal Vikas Yojana 4.0- Special Projects</t>
        </is>
      </c>
      <c r="G63"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63" s="49" t="inlineStr">
        <is>
          <t>0</t>
        </is>
      </c>
      <c r="I63" s="49" t="str"/>
      <c r="J63" s="55">
        <f>INT((ROW()-2)/50)+1</f>
        <v/>
      </c>
      <c r="K63" s="55">
        <f>IF(H63="","Pending",IF(OR(H63="0",H63="1",H63="2",H63="U"),"Complete","Invalid"))</f>
        <v/>
      </c>
    </row>
    <row r="64" ht="84" customHeight="1">
      <c r="A64" s="43" t="inlineStr">
        <is>
          <t>v2q-023-candidate-02</t>
        </is>
      </c>
      <c r="B64" s="43" t="inlineStr">
        <is>
          <t>v2q-023</t>
        </is>
      </c>
      <c r="C64" s="43" t="inlineStr">
        <is>
          <t>What role does a Gram Panchayat play when a household registers for MGNREGA?</t>
        </is>
      </c>
      <c r="D64" s="43" t="inlineStr">
        <is>
          <t>A household may apply through its local Gram Panchayat, which verifies residence, household identity, and adult membership details.</t>
        </is>
      </c>
      <c r="E64" s="43" t="inlineStr">
        <is>
          <t>pilot-v2-doc-pm-kmy-guidelines-0003-30d7d7a0db81</t>
        </is>
      </c>
      <c r="F64" s="43" t="inlineStr">
        <is>
          <t>Pradhan Mantri Kisan Maan Dhan Yojana Operational Guidelines</t>
        </is>
      </c>
      <c r="G64"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64" s="49" t="inlineStr">
        <is>
          <t>0</t>
        </is>
      </c>
      <c r="I64" s="49" t="str"/>
      <c r="J64" s="55">
        <f>INT((ROW()-2)/50)+1</f>
        <v/>
      </c>
      <c r="K64" s="55">
        <f>IF(H64="","Pending",IF(OR(H64="0",H64="1",H64="2",H64="U"),"Complete","Invalid"))</f>
        <v/>
      </c>
    </row>
    <row r="65" ht="84" customHeight="1">
      <c r="A65" s="43" t="inlineStr">
        <is>
          <t>v2q-008-candidate-10</t>
        </is>
      </c>
      <c r="B65" s="43" t="inlineStr">
        <is>
          <t>v2q-008</t>
        </is>
      </c>
      <c r="C65" s="43" t="inlineStr">
        <is>
          <t>Which accident-insurance programme is abbreviated PMSBY, and which outcomes trigger its cover?</t>
        </is>
      </c>
      <c r="D65" s="43" t="inlineStr">
        <is>
          <t>PMSBY stands for Pradhan Mantri Suraksha Bima Yojana and covers accidental death and disability.</t>
        </is>
      </c>
      <c r="E65" s="43" t="inlineStr">
        <is>
          <t>pilot-v2-doc-pmkvy-rpl-0003-9425f5b8529a</t>
        </is>
      </c>
      <c r="F65" s="43" t="inlineStr">
        <is>
          <t>Pradhan Mantri Kaushal Vikas Yojana 4.0 - Recognition Of Prior Learning</t>
        </is>
      </c>
      <c r="G65" s="43" t="inlineStr">
        <is>
          <t>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is>
      </c>
      <c r="H65" s="49" t="inlineStr">
        <is>
          <t>0</t>
        </is>
      </c>
      <c r="I65" s="49" t="str"/>
      <c r="J65" s="55">
        <f>INT((ROW()-2)/50)+1</f>
        <v/>
      </c>
      <c r="K65" s="55">
        <f>IF(H65="","Pending",IF(OR(H65="0",H65="1",H65="2",H65="U"),"Complete","Invalid"))</f>
        <v/>
      </c>
    </row>
    <row r="66" ht="84" customHeight="1">
      <c r="A66" s="43" t="inlineStr">
        <is>
          <t>v2q-026-candidate-01</t>
        </is>
      </c>
      <c r="B66" s="43" t="inlineStr">
        <is>
          <t>v2q-026</t>
        </is>
      </c>
      <c r="C66" s="43" t="inlineStr">
        <is>
          <t>What employment guarantee does MGNREGA provide, and which other programme from its ministry supplies pucca houses to rural households?</t>
        </is>
      </c>
      <c r="D66" s="43" t="inlineStr">
        <is>
          <t>MGNREGA guarantees at least 100 days of wage employment to qualifying rural households. PMAY-G, under the same Ministry of Rural Development, supports pucca houses with basic amenities for eligible rural households.</t>
        </is>
      </c>
      <c r="E66" s="43" t="inlineStr">
        <is>
          <t>pilot-v2-doc-pmegp-0000-7b958e1ec4b0</t>
        </is>
      </c>
      <c r="F66" s="43" t="inlineStr">
        <is>
          <t>Prime Minister's Employment Generation Programme</t>
        </is>
      </c>
      <c r="G66"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66" s="49" t="inlineStr">
        <is>
          <t>0</t>
        </is>
      </c>
      <c r="I66" s="49" t="str"/>
      <c r="J66" s="55">
        <f>INT((ROW()-2)/50)+1</f>
        <v/>
      </c>
      <c r="K66" s="55">
        <f>IF(H66="","Pending",IF(OR(H66="0",H66="1",H66="2",H66="U"),"Complete","Invalid"))</f>
        <v/>
      </c>
    </row>
    <row r="67" ht="84" customHeight="1">
      <c r="A67" s="43" t="inlineStr">
        <is>
          <t>v2q-013-candidate-08</t>
        </is>
      </c>
      <c r="B67" s="43" t="inlineStr">
        <is>
          <t>v2q-013</t>
        </is>
      </c>
      <c r="C67" s="43" t="inlineStr">
        <is>
          <t>Which initiative helps women in low-income countryside homes replace smoke-producing solid cooking materials with bottled gas?</t>
        </is>
      </c>
      <c r="D67" s="43" t="inlineStr">
        <is>
          <t>Pradhan Mantri Ujjwala Yojana provides LPG access to rural and deprived households that previously relied on traditional cooking fuels.</t>
        </is>
      </c>
      <c r="E67" s="43" t="inlineStr">
        <is>
          <t>pilot-v2-doc-pmuy2-0000-95fa2d4e3b3f</t>
        </is>
      </c>
      <c r="F67" s="43" t="inlineStr">
        <is>
          <t>Pradhan Mantri Ujjwala Yojana 2.0</t>
        </is>
      </c>
      <c r="G67"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67" s="49" t="inlineStr">
        <is>
          <t>2</t>
        </is>
      </c>
      <c r="I67" s="49" t="str"/>
      <c r="J67" s="55">
        <f>INT((ROW()-2)/50)+1</f>
        <v/>
      </c>
      <c r="K67" s="55">
        <f>IF(H67="","Pending",IF(OR(H67="0",H67="1",H67="2",H67="U"),"Complete","Invalid"))</f>
        <v/>
      </c>
    </row>
    <row r="68" ht="84" customHeight="1">
      <c r="A68" s="43" t="inlineStr">
        <is>
          <t>v2q-010-candidate-08</t>
        </is>
      </c>
      <c r="B68" s="43" t="inlineStr">
        <is>
          <t>v2q-010</t>
        </is>
      </c>
      <c r="C68" s="43" t="inlineStr">
        <is>
          <t>What is the full form of PM POSHAN, and what meal benefit does it provide?</t>
        </is>
      </c>
      <c r="D68" s="43" t="inlineStr">
        <is>
          <t>PM POSHAN means Prime Minister's Overarching Scheme for Holistic Nourishment and provides one hot cooked meal to children in government and government-aided schools.</t>
        </is>
      </c>
      <c r="E68" s="43" t="inlineStr">
        <is>
          <t>pilot-v2-doc-pmfby-0003-5aa41e0f864d</t>
        </is>
      </c>
      <c r="F68" s="43" t="inlineStr">
        <is>
          <t>Pradhan Mantri Fasal Bima Yojna (PMFBY)</t>
        </is>
      </c>
      <c r="G68" s="43" t="inlineStr">
        <is>
          <t>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is>
      </c>
      <c r="H68" s="49" t="inlineStr">
        <is>
          <t>0</t>
        </is>
      </c>
      <c r="I68" s="49" t="str"/>
      <c r="J68" s="55">
        <f>INT((ROW()-2)/50)+1</f>
        <v/>
      </c>
      <c r="K68" s="55">
        <f>IF(H68="","Pending",IF(OR(H68="0",H68="1",H68="2",H68="U"),"Complete","Invalid"))</f>
        <v/>
      </c>
    </row>
    <row r="69" ht="84" customHeight="1">
      <c r="A69" s="43" t="inlineStr">
        <is>
          <t>v2q-001-candidate-18</t>
        </is>
      </c>
      <c r="B69" s="43" t="inlineStr">
        <is>
          <t>v2q-001</t>
        </is>
      </c>
      <c r="C69" s="43" t="inlineStr">
        <is>
          <t>What is the minimum house size specified under PMAY-G?</t>
        </is>
      </c>
      <c r="D69" s="43" t="inlineStr">
        <is>
          <t>The minimum house size is 25 square metres, including a dedicated hygienic cooking area.</t>
        </is>
      </c>
      <c r="E69" s="43" t="inlineStr">
        <is>
          <t>pilot-v2-doc-mgnrega-0001-5203a455caa6</t>
        </is>
      </c>
      <c r="F69" s="43" t="inlineStr">
        <is>
          <t>Mahatma Gandhi National Rural Employment Guarantee Act</t>
        </is>
      </c>
      <c r="G69"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69" s="49" t="inlineStr">
        <is>
          <t>0</t>
        </is>
      </c>
      <c r="I69" s="49" t="str"/>
      <c r="J69" s="55">
        <f>INT((ROW()-2)/50)+1</f>
        <v/>
      </c>
      <c r="K69" s="55">
        <f>IF(H69="","Pending",IF(OR(H69="0",H69="1",H69="2",H69="U"),"Complete","Invalid"))</f>
        <v/>
      </c>
    </row>
    <row r="70" ht="84" customHeight="1">
      <c r="A70" s="43" t="inlineStr">
        <is>
          <t>v2q-031-candidate-19</t>
        </is>
      </c>
      <c r="B70" s="43" t="inlineStr">
        <is>
          <t>v2q-031</t>
        </is>
      </c>
      <c r="C70" s="43" t="inlineStr">
        <is>
          <t>How do three finance-sector programmes combine basic banking, life insurance, and accident insurance?</t>
        </is>
      </c>
      <c r="D70" s="43" t="inlineStr">
        <is>
          <t>PMJDY provides universal banking and access to financial services; PMJJBY supplies life cover for death from any cause; PMSBY supplies accidental-death and disability cover.</t>
        </is>
      </c>
      <c r="E70" s="43" t="inlineStr">
        <is>
          <t>pilot-v2-doc-apy-0002-66a5cc4017fb</t>
        </is>
      </c>
      <c r="F70" s="43" t="inlineStr">
        <is>
          <t>Atal Pension Yojana</t>
        </is>
      </c>
      <c r="G70"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70" s="49" t="inlineStr">
        <is>
          <t>0</t>
        </is>
      </c>
      <c r="I70" s="49" t="str"/>
      <c r="J70" s="55">
        <f>INT((ROW()-2)/50)+1</f>
        <v/>
      </c>
      <c r="K70" s="55">
        <f>IF(H70="","Pending",IF(OR(H70="0",H70="1",H70="2",H70="U"),"Complete","Invalid"))</f>
        <v/>
      </c>
    </row>
    <row r="71" ht="84" customHeight="1">
      <c r="A71" s="43" t="inlineStr">
        <is>
          <t>v2q-003-candidate-11</t>
        </is>
      </c>
      <c r="B71" s="43" t="inlineStr">
        <is>
          <t>v2q-003</t>
        </is>
      </c>
      <c r="C71" s="43" t="inlineStr">
        <is>
          <t>What revised overdraft limit and RuPay accidental-insurance cover are stated for PMJDY?</t>
        </is>
      </c>
      <c r="D71" s="43" t="inlineStr">
        <is>
          <t>PMJDY states a revised overdraft limit of ₹10,000 and accidental-insurance cover of ₹2 lakh for RuPay cardholders.</t>
        </is>
      </c>
      <c r="E71" s="43" t="inlineStr">
        <is>
          <t>pilot-v2-doc-pm-kmy-guidelines-0017-43ef720eda68</t>
        </is>
      </c>
      <c r="F71" s="43" t="inlineStr">
        <is>
          <t>Pradhan Mantri Kisan Maan Dhan Yojana Operational Guidelines</t>
        </is>
      </c>
      <c r="G71" s="43" t="inlineStr">
        <is>
          <t>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 strictly personal and cannot be assigned,
charged or alienated in any way.
If any restraint or prohibitory order  is served on the Government in respect of any
benefit payable to a subscriber or his  / her beneficiary or  if the subscriber or the
beneficiary shall become bankrupt or attempt to assign, charge or in any way encumber
the pension or any benefit there under, he / she shall forfeit all rights and claim thereto
and the same shall lapse to the Government but without prejudice to the powers of the
Government at their discretion to maintain or continue the same, it they think fit, either
immediately or after an interval or otherwise to make payments for the support of the
subscriber. The value of any or all benefits forfeited shall be transferred to the ‘Surplus
Account’.
14.  TO PREVAIL:
Should anything contained  in these guidelines or  in any alternation or amendment
thereof be inconsistent with the object or provisions of the Scheme, the provisions of the
Scheme as approved shall prevail. On any such discrepancy coming to the notice of 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t>
        </is>
      </c>
      <c r="H71" s="49" t="inlineStr">
        <is>
          <t>0</t>
        </is>
      </c>
      <c r="I71" s="49" t="str"/>
      <c r="J71" s="55">
        <f>INT((ROW()-2)/50)+1</f>
        <v/>
      </c>
      <c r="K71" s="55">
        <f>IF(H71="","Pending",IF(OR(H71="0",H71="1",H71="2",H71="U"),"Complete","Invalid"))</f>
        <v/>
      </c>
    </row>
    <row r="72" ht="84" customHeight="1">
      <c r="A72" s="43" t="inlineStr">
        <is>
          <t>v2q-027-candidate-19</t>
        </is>
      </c>
      <c r="B72" s="43" t="inlineStr">
        <is>
          <t>v2q-027</t>
        </is>
      </c>
      <c r="C72" s="43" t="inlineStr">
        <is>
          <t>What livelihood mechanism does PM SVANidhi offer street vendors, and which other programme from its ministry addresses housing shortages for eligible urban households?</t>
        </is>
      </c>
      <c r="D72" s="43" t="inlineStr">
        <is>
          <t>PM SVANidhi offers street vendors collateral-free working-capital loans, interest subsidy, and digital-payment incentives. PMAY-U, under the same Ministry of Housing and Urban Affairs, provides housing support for eligible urban households.</t>
        </is>
      </c>
      <c r="E72" s="43" t="inlineStr">
        <is>
          <t>pilot-v2-doc-pm-gkay-0000-c29b96f46a80</t>
        </is>
      </c>
      <c r="F72" s="43" t="inlineStr">
        <is>
          <t>Pradhan Mantri Garib Kalyan Anna Yojana</t>
        </is>
      </c>
      <c r="G72"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72" s="49" t="inlineStr">
        <is>
          <t>0</t>
        </is>
      </c>
      <c r="I72" s="49" t="str"/>
      <c r="J72" s="55">
        <f>INT((ROW()-2)/50)+1</f>
        <v/>
      </c>
      <c r="K72" s="55">
        <f>IF(H72="","Pending",IF(OR(H72="0",H72="1",H72="2",H72="U"),"Complete","Invalid"))</f>
        <v/>
      </c>
    </row>
    <row r="73" ht="84" customHeight="1">
      <c r="A73" s="43" t="inlineStr">
        <is>
          <t>v2q-013-candidate-14</t>
        </is>
      </c>
      <c r="B73" s="43" t="inlineStr">
        <is>
          <t>v2q-013</t>
        </is>
      </c>
      <c r="C73" s="43" t="inlineStr">
        <is>
          <t>Which initiative helps women in low-income countryside homes replace smoke-producing solid cooking materials with bottled gas?</t>
        </is>
      </c>
      <c r="D73" s="43" t="inlineStr">
        <is>
          <t>Pradhan Mantri Ujjwala Yojana provides LPG access to rural and deprived households that previously relied on traditional cooking fuels.</t>
        </is>
      </c>
      <c r="E73" s="43" t="inlineStr">
        <is>
          <t>pilot-v2-doc-pmay-g-0001-db2db8af1543</t>
        </is>
      </c>
      <c r="F73" s="43" t="inlineStr">
        <is>
          <t>Pradhan Mantri Awaas Yojana - Gramin</t>
        </is>
      </c>
      <c r="G73"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73" s="49" t="inlineStr">
        <is>
          <t>1</t>
        </is>
      </c>
      <c r="I73" s="49" t="str"/>
      <c r="J73" s="55">
        <f>INT((ROW()-2)/50)+1</f>
        <v/>
      </c>
      <c r="K73" s="55">
        <f>IF(H73="","Pending",IF(OR(H73="0",H73="1",H73="2",H73="U"),"Complete","Invalid"))</f>
        <v/>
      </c>
    </row>
    <row r="74" ht="84" customHeight="1">
      <c r="A74" s="43" t="inlineStr">
        <is>
          <t>v2q-009-candidate-14</t>
        </is>
      </c>
      <c r="B74" s="43" t="inlineStr">
        <is>
          <t>v2q-009</t>
        </is>
      </c>
      <c r="C74" s="43" t="inlineStr">
        <is>
          <t>What does APY stand for, and what monthly pension range does it guarantee after age 60?</t>
        </is>
      </c>
      <c r="D74" s="43" t="inlineStr">
        <is>
          <t>APY stands for Atal Pension Yojana and offers guaranteed monthly pension options from ₹1,000 to ₹5,000 after age 60.</t>
        </is>
      </c>
      <c r="E74" s="43" t="inlineStr">
        <is>
          <t>pilot-v2-doc-pm-gkay-0000-c29b96f46a80</t>
        </is>
      </c>
      <c r="F74" s="43" t="inlineStr">
        <is>
          <t>Pradhan Mantri Garib Kalyan Anna Yojana</t>
        </is>
      </c>
      <c r="G74"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74" s="49" t="inlineStr">
        <is>
          <t>0</t>
        </is>
      </c>
      <c r="I74" s="49" t="str"/>
      <c r="J74" s="55">
        <f>INT((ROW()-2)/50)+1</f>
        <v/>
      </c>
      <c r="K74" s="55">
        <f>IF(H74="","Pending",IF(OR(H74="0",H74="1",H74="2",H74="U"),"Complete","Invalid"))</f>
        <v/>
      </c>
    </row>
    <row r="75" ht="84" customHeight="1">
      <c r="A75" s="43" t="inlineStr">
        <is>
          <t>v2q-025-candidate-05</t>
        </is>
      </c>
      <c r="B75" s="43" t="inlineStr">
        <is>
          <t>v2q-025</t>
        </is>
      </c>
      <c r="C75" s="43" t="inlineStr">
        <is>
          <t>What banking function does PMJDY provide, and which other programme from its ministry finances income-generating micro-enterprises?</t>
        </is>
      </c>
      <c r="D75" s="43" t="inlineStr">
        <is>
          <t>PMJDY provides universal banking services for unbanked households. PMMY, under the same Ministry of Finance, provides micro-credit for income-generating micro-enterprises.</t>
        </is>
      </c>
      <c r="E75" s="43" t="inlineStr">
        <is>
          <t>pilot-v2-doc-pmjdy-0001-95c3d046d79a</t>
        </is>
      </c>
      <c r="F75" s="43" t="inlineStr">
        <is>
          <t>Pradhan Mantri Jan Dhan Yojana</t>
        </is>
      </c>
      <c r="G75"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75" s="49" t="inlineStr">
        <is>
          <t>2</t>
        </is>
      </c>
      <c r="I75" s="49" t="str"/>
      <c r="J75" s="55">
        <f>INT((ROW()-2)/50)+1</f>
        <v/>
      </c>
      <c r="K75" s="55">
        <f>IF(H75="","Pending",IF(OR(H75="0",H75="1",H75="2",H75="U"),"Complete","Invalid"))</f>
        <v/>
      </c>
    </row>
    <row r="76" ht="84" customHeight="1">
      <c r="A76" s="43" t="inlineStr">
        <is>
          <t>v2q-014-candidate-12</t>
        </is>
      </c>
      <c r="B76" s="43" t="inlineStr">
        <is>
          <t>v2q-014</t>
        </is>
      </c>
      <c r="C76" s="43" t="inlineStr">
        <is>
          <t>Under the national ration programme, what monthly cereal allocation goes to families in the poorest entitlement tier and to each person in the priority tier?</t>
        </is>
      </c>
      <c r="D76" s="43" t="inlineStr">
        <is>
          <t>AAY families receive 35 kilograms per family per month, while PHH beneficiaries receive 5 kilograms per person per month.</t>
        </is>
      </c>
      <c r="E76" s="43" t="inlineStr">
        <is>
          <t>pilot-v2-doc-pm-gkay-0002-9e804cd883e8</t>
        </is>
      </c>
      <c r="F76" s="43" t="inlineStr">
        <is>
          <t>Pradhan Mantri Garib Kalyan Anna Yojana</t>
        </is>
      </c>
      <c r="G76" s="43" t="inlineStr">
        <is>
          <t>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H76" s="49" t="inlineStr">
        <is>
          <t>1</t>
        </is>
      </c>
      <c r="I76" s="49" t="str"/>
      <c r="J76" s="55">
        <f>INT((ROW()-2)/50)+1</f>
        <v/>
      </c>
      <c r="K76" s="55">
        <f>IF(H76="","Pending",IF(OR(H76="0",H76="1",H76="2",H76="U"),"Complete","Invalid"))</f>
        <v/>
      </c>
    </row>
    <row r="77" ht="84" customHeight="1">
      <c r="A77" s="43" t="inlineStr">
        <is>
          <t>v2q-006-candidate-15</t>
        </is>
      </c>
      <c r="B77" s="43" t="inlineStr">
        <is>
          <t>v2q-006</t>
        </is>
      </c>
      <c r="C77" s="43" t="inlineStr">
        <is>
          <t>What annual hospitalisation cover does AB-PMJAY provide per eligible family?</t>
        </is>
      </c>
      <c r="D77" s="43" t="inlineStr">
        <is>
          <t>AB-PMJAY provides cashless hospitalisation cover of ₹5 lakh per family per year for secondary and tertiary healthcare.</t>
        </is>
      </c>
      <c r="E77" s="43" t="inlineStr">
        <is>
          <t>pilot-v2-doc-ab-pmjay-0004-2e5074722cd7</t>
        </is>
      </c>
      <c r="F77" s="43" t="inlineStr">
        <is>
          <t>Ayushman Bharat - Pradhan Mantri Jan Arogya Yojana</t>
        </is>
      </c>
      <c r="G77" s="43" t="inlineStr">
        <is>
          <t>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H77" s="49" t="inlineStr">
        <is>
          <t>1</t>
        </is>
      </c>
      <c r="I77" s="49" t="str"/>
      <c r="J77" s="55">
        <f>INT((ROW()-2)/50)+1</f>
        <v/>
      </c>
      <c r="K77" s="55">
        <f>IF(H77="","Pending",IF(OR(H77="0",H77="1",H77="2",H77="U"),"Complete","Invalid"))</f>
        <v/>
      </c>
    </row>
    <row r="78" ht="84" customHeight="1">
      <c r="A78" s="43" t="inlineStr">
        <is>
          <t>v2q-031-candidate-17</t>
        </is>
      </c>
      <c r="B78" s="43" t="inlineStr">
        <is>
          <t>v2q-031</t>
        </is>
      </c>
      <c r="C78" s="43" t="inlineStr">
        <is>
          <t>How do three finance-sector programmes combine basic banking, life insurance, and accident insurance?</t>
        </is>
      </c>
      <c r="D78" s="43" t="inlineStr">
        <is>
          <t>PMJDY provides universal banking and access to financial services; PMJJBY supplies life cover for death from any cause; PMSBY supplies accidental-death and disability cover.</t>
        </is>
      </c>
      <c r="E78" s="43" t="inlineStr">
        <is>
          <t>pilot-v2-doc-pm-kmy-guidelines-0002-ae644e1f8c00</t>
        </is>
      </c>
      <c r="F78" s="43" t="inlineStr">
        <is>
          <t>Pradhan Mantri Kisan Maan Dhan Yojana Operational Guidelines</t>
        </is>
      </c>
      <c r="G78"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78" s="49" t="inlineStr">
        <is>
          <t>0</t>
        </is>
      </c>
      <c r="I78" s="49" t="str"/>
      <c r="J78" s="55">
        <f>INT((ROW()-2)/50)+1</f>
        <v/>
      </c>
      <c r="K78" s="55">
        <f>IF(H78="","Pending",IF(OR(H78="0",H78="1",H78="2",H78="U"),"Complete","Invalid"))</f>
        <v/>
      </c>
    </row>
    <row r="79" ht="84" customHeight="1">
      <c r="A79" s="43" t="inlineStr">
        <is>
          <t>v2q-008-candidate-26</t>
        </is>
      </c>
      <c r="B79" s="43" t="inlineStr">
        <is>
          <t>v2q-008</t>
        </is>
      </c>
      <c r="C79" s="43" t="inlineStr">
        <is>
          <t>Which accident-insurance programme is abbreviated PMSBY, and which outcomes trigger its cover?</t>
        </is>
      </c>
      <c r="D79" s="43" t="inlineStr">
        <is>
          <t>PMSBY stands for Pradhan Mantri Suraksha Bima Yojana and covers accidental death and disability.</t>
        </is>
      </c>
      <c r="E79" s="43" t="inlineStr">
        <is>
          <t>pilot-v2-doc-mgnrega-0001-5203a455caa6</t>
        </is>
      </c>
      <c r="F79" s="43" t="inlineStr">
        <is>
          <t>Mahatma Gandhi National Rural Employment Guarantee Act</t>
        </is>
      </c>
      <c r="G79"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79" s="49" t="inlineStr">
        <is>
          <t>0</t>
        </is>
      </c>
      <c r="I79" s="49" t="str"/>
      <c r="J79" s="55">
        <f>INT((ROW()-2)/50)+1</f>
        <v/>
      </c>
      <c r="K79" s="55">
        <f>IF(H79="","Pending",IF(OR(H79="0",H79="1",H79="2",H79="U"),"Complete","Invalid"))</f>
        <v/>
      </c>
    </row>
    <row r="80" ht="84" customHeight="1">
      <c r="A80" s="43" t="inlineStr">
        <is>
          <t>v2q-008-candidate-16</t>
        </is>
      </c>
      <c r="B80" s="43" t="inlineStr">
        <is>
          <t>v2q-008</t>
        </is>
      </c>
      <c r="C80" s="43" t="inlineStr">
        <is>
          <t>Which accident-insurance programme is abbreviated PMSBY, and which outcomes trigger its cover?</t>
        </is>
      </c>
      <c r="D80" s="43" t="inlineStr">
        <is>
          <t>PMSBY stands for Pradhan Mantri Suraksha Bima Yojana and covers accidental death and disability.</t>
        </is>
      </c>
      <c r="E80" s="43" t="inlineStr">
        <is>
          <t>pilot-v2-doc-pm-gkay-0000-c29b96f46a80</t>
        </is>
      </c>
      <c r="F80" s="43" t="inlineStr">
        <is>
          <t>Pradhan Mantri Garib Kalyan Anna Yojana</t>
        </is>
      </c>
      <c r="G80"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80" s="49" t="inlineStr">
        <is>
          <t>0</t>
        </is>
      </c>
      <c r="I80" s="49" t="str"/>
      <c r="J80" s="55">
        <f>INT((ROW()-2)/50)+1</f>
        <v/>
      </c>
      <c r="K80" s="55">
        <f>IF(H80="","Pending",IF(OR(H80="0",H80="1",H80="2",H80="U"),"Complete","Invalid"))</f>
        <v/>
      </c>
    </row>
    <row r="81" ht="84" customHeight="1">
      <c r="A81" s="43" t="inlineStr">
        <is>
          <t>v2q-032-candidate-14</t>
        </is>
      </c>
      <c r="B81" s="43" t="inlineStr">
        <is>
          <t>v2q-032</t>
        </is>
      </c>
      <c r="C81" s="43" t="inlineStr">
        <is>
          <t>How do three farmer programmes separately address crop loss, current income needs, and old-age income security?</t>
        </is>
      </c>
      <c r="D81" s="43" t="inlineStr">
        <is>
          <t>PMFBY insures crops against specified losses; PM-KISAN transfers ₹6,000 annually to eligible farmer families; PM-KMY provides eligible small and marginal farmers an assured ₹3,000 monthly pension from age 60.</t>
        </is>
      </c>
      <c r="E81" s="43" t="inlineStr">
        <is>
          <t>pilot-v2-doc-mgnrega-0001-5203a455caa6</t>
        </is>
      </c>
      <c r="F81" s="43" t="inlineStr">
        <is>
          <t>Mahatma Gandhi National Rural Employment Guarantee Act</t>
        </is>
      </c>
      <c r="G81"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81" s="49" t="inlineStr">
        <is>
          <t>0</t>
        </is>
      </c>
      <c r="I81" s="49" t="str"/>
      <c r="J81" s="55">
        <f>INT((ROW()-2)/50)+1</f>
        <v/>
      </c>
      <c r="K81" s="55">
        <f>IF(H81="","Pending",IF(OR(H81="0",H81="1",H81="2",H81="U"),"Complete","Invalid"))</f>
        <v/>
      </c>
    </row>
    <row r="82" ht="84" customHeight="1">
      <c r="A82" s="43" t="inlineStr">
        <is>
          <t>v2q-019-candidate-03</t>
        </is>
      </c>
      <c r="B82" s="43" t="inlineStr">
        <is>
          <t>v2q-019</t>
        </is>
      </c>
      <c r="C82" s="43" t="inlineStr">
        <is>
          <t>What role does the Ministry of Petroleum and Natural Gas have in Ujjwala 2.0?</t>
        </is>
      </c>
      <c r="D82" s="43" t="inlineStr">
        <is>
          <t>The ministry introduced Ujjwala 2.0 to provide LPG connections and promote clean cooking fuel among poor, rural, and deprived households.</t>
        </is>
      </c>
      <c r="E82" s="43" t="inlineStr">
        <is>
          <t>pilot-v2-doc-pmegp-0003-43256e8e6645</t>
        </is>
      </c>
      <c r="F82" s="43" t="inlineStr">
        <is>
          <t>Prime Minister's Employment Generation Programme</t>
        </is>
      </c>
      <c r="G82"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82" s="49" t="inlineStr">
        <is>
          <t>0</t>
        </is>
      </c>
      <c r="I82" s="49" t="str"/>
      <c r="J82" s="55">
        <f>INT((ROW()-2)/50)+1</f>
        <v/>
      </c>
      <c r="K82" s="55">
        <f>IF(H82="","Pending",IF(OR(H82="0",H82="1",H82="2",H82="U"),"Complete","Invalid"))</f>
        <v/>
      </c>
    </row>
    <row r="83" ht="84" customHeight="1">
      <c r="A83" s="43" t="inlineStr">
        <is>
          <t>v2q-017-candidate-09</t>
        </is>
      </c>
      <c r="B83" s="43" t="inlineStr">
        <is>
          <t>v2q-017</t>
        </is>
      </c>
      <c r="C83" s="43" t="inlineStr">
        <is>
          <t>Which training route serves people no longer in education or work who need an initial occupational skill?</t>
        </is>
      </c>
      <c r="D83" s="43" t="inlineStr">
        <is>
          <t>PMKVY 4.0 Short-Term Training provides fresh skilling, reskilling, or upskilling for groups including school or college dropouts and unemployed youth.</t>
        </is>
      </c>
      <c r="E83" s="43" t="inlineStr">
        <is>
          <t>pilot-v2-doc-pmkvy-sp-0002-dc58b95bab9b</t>
        </is>
      </c>
      <c r="F83" s="43" t="inlineStr">
        <is>
          <t>Pradhan Mantri Kaushal Vikas Yojana 4.0- Special Projects</t>
        </is>
      </c>
      <c r="G83" s="43" t="inlineStr">
        <is>
          <t>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is>
      </c>
      <c r="H83" s="49" t="inlineStr">
        <is>
          <t>1</t>
        </is>
      </c>
      <c r="I83" s="49" t="str"/>
      <c r="J83" s="55">
        <f>INT((ROW()-2)/50)+1</f>
        <v/>
      </c>
      <c r="K83" s="55">
        <f>IF(H83="","Pending",IF(OR(H83="0",H83="1",H83="2",H83="U"),"Complete","Invalid"))</f>
        <v/>
      </c>
    </row>
    <row r="84" ht="84" customHeight="1">
      <c r="A84" s="43" t="inlineStr">
        <is>
          <t>v2q-009-candidate-17</t>
        </is>
      </c>
      <c r="B84" s="43" t="inlineStr">
        <is>
          <t>v2q-009</t>
        </is>
      </c>
      <c r="C84" s="43" t="inlineStr">
        <is>
          <t>What does APY stand for, and what monthly pension range does it guarantee after age 60?</t>
        </is>
      </c>
      <c r="D84" s="43" t="inlineStr">
        <is>
          <t>APY stands for Atal Pension Yojana and offers guaranteed monthly pension options from ₹1,000 to ₹5,000 after age 60.</t>
        </is>
      </c>
      <c r="E84" s="43" t="inlineStr">
        <is>
          <t>pilot-v2-doc-pmjdy-0000-8b241ec39723</t>
        </is>
      </c>
      <c r="F84" s="43" t="inlineStr">
        <is>
          <t>Pradhan Mantri Jan Dhan Yojana</t>
        </is>
      </c>
      <c r="G84"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84" s="49" t="inlineStr">
        <is>
          <t>0</t>
        </is>
      </c>
      <c r="I84" s="49" t="str"/>
      <c r="J84" s="55">
        <f>INT((ROW()-2)/50)+1</f>
        <v/>
      </c>
      <c r="K84" s="55">
        <f>IF(H84="","Pending",IF(OR(H84="0",H84="1",H84="2",H84="U"),"Complete","Invalid"))</f>
        <v/>
      </c>
    </row>
    <row r="85" ht="84" customHeight="1">
      <c r="A85" s="43" t="inlineStr">
        <is>
          <t>v2q-009-candidate-07</t>
        </is>
      </c>
      <c r="B85" s="43" t="inlineStr">
        <is>
          <t>v2q-009</t>
        </is>
      </c>
      <c r="C85" s="43" t="inlineStr">
        <is>
          <t>What does APY stand for, and what monthly pension range does it guarantee after age 60?</t>
        </is>
      </c>
      <c r="D85" s="43" t="inlineStr">
        <is>
          <t>APY stands for Atal Pension Yojana and offers guaranteed monthly pension options from ₹1,000 to ₹5,000 after age 60.</t>
        </is>
      </c>
      <c r="E85" s="43" t="inlineStr">
        <is>
          <t>pilot-v2-doc-pm-kmy-guidelines-0006-2652020c834e</t>
        </is>
      </c>
      <c r="F85" s="43" t="inlineStr">
        <is>
          <t>Pradhan Mantri Kisan Maan Dhan Yojana Operational Guidelines</t>
        </is>
      </c>
      <c r="G85" s="43" t="inlineStr">
        <is>
          <t>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is>
      </c>
      <c r="H85" s="49" t="inlineStr">
        <is>
          <t>0</t>
        </is>
      </c>
      <c r="I85" s="49" t="str"/>
      <c r="J85" s="55">
        <f>INT((ROW()-2)/50)+1</f>
        <v/>
      </c>
      <c r="K85" s="55">
        <f>IF(H85="","Pending",IF(OR(H85="0",H85="1",H85="2",H85="U"),"Complete","Invalid"))</f>
        <v/>
      </c>
    </row>
    <row r="86" ht="84" customHeight="1">
      <c r="A86" s="43" t="inlineStr">
        <is>
          <t>v2q-014-candidate-21</t>
        </is>
      </c>
      <c r="B86" s="43" t="inlineStr">
        <is>
          <t>v2q-014</t>
        </is>
      </c>
      <c r="C86" s="43" t="inlineStr">
        <is>
          <t>Under the national ration programme, what monthly cereal allocation goes to families in the poorest entitlement tier and to each person in the priority tier?</t>
        </is>
      </c>
      <c r="D86" s="43" t="inlineStr">
        <is>
          <t>AAY families receive 35 kilograms per family per month, while PHH beneficiaries receive 5 kilograms per person per month.</t>
        </is>
      </c>
      <c r="E86" s="43" t="inlineStr">
        <is>
          <t>pilot-v2-doc-mgnrega-0002-bbbce5f319d4</t>
        </is>
      </c>
      <c r="F86" s="43" t="inlineStr">
        <is>
          <t>Mahatma Gandhi National Rural Employment Guarantee Act</t>
        </is>
      </c>
      <c r="G86"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86" s="49" t="inlineStr">
        <is>
          <t>0</t>
        </is>
      </c>
      <c r="I86" s="49" t="str"/>
      <c r="J86" s="55">
        <f>INT((ROW()-2)/50)+1</f>
        <v/>
      </c>
      <c r="K86" s="55">
        <f>IF(H86="","Pending",IF(OR(H86="0",H86="1",H86="2",H86="U"),"Complete","Invalid"))</f>
        <v/>
      </c>
    </row>
    <row r="87" ht="84" customHeight="1">
      <c r="A87" s="43" t="inlineStr">
        <is>
          <t>v2q-025-candidate-14</t>
        </is>
      </c>
      <c r="B87" s="43" t="inlineStr">
        <is>
          <t>v2q-025</t>
        </is>
      </c>
      <c r="C87" s="43" t="inlineStr">
        <is>
          <t>What banking function does PMJDY provide, and which other programme from its ministry finances income-generating micro-enterprises?</t>
        </is>
      </c>
      <c r="D87" s="43" t="inlineStr">
        <is>
          <t>PMJDY provides universal banking services for unbanked households. PMMY, under the same Ministry of Finance, provides micro-credit for income-generating micro-enterprises.</t>
        </is>
      </c>
      <c r="E87" s="43" t="inlineStr">
        <is>
          <t>pilot-v2-doc-apy-0000-c43dd88d7899</t>
        </is>
      </c>
      <c r="F87" s="43" t="inlineStr">
        <is>
          <t>Atal Pension Yojana</t>
        </is>
      </c>
      <c r="G87"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87" s="49" t="inlineStr">
        <is>
          <t>0</t>
        </is>
      </c>
      <c r="I87" s="49" t="str"/>
      <c r="J87" s="55">
        <f>INT((ROW()-2)/50)+1</f>
        <v/>
      </c>
      <c r="K87" s="55">
        <f>IF(H87="","Pending",IF(OR(H87="0",H87="1",H87="2",H87="U"),"Complete","Invalid"))</f>
        <v/>
      </c>
    </row>
    <row r="88" ht="84" customHeight="1">
      <c r="A88" s="43" t="inlineStr">
        <is>
          <t>v2q-031-candidate-20</t>
        </is>
      </c>
      <c r="B88" s="43" t="inlineStr">
        <is>
          <t>v2q-031</t>
        </is>
      </c>
      <c r="C88" s="43" t="inlineStr">
        <is>
          <t>How do three finance-sector programmes combine basic banking, life insurance, and accident insurance?</t>
        </is>
      </c>
      <c r="D88" s="43" t="inlineStr">
        <is>
          <t>PMJDY provides universal banking and access to financial services; PMJJBY supplies life cover for death from any cause; PMSBY supplies accidental-death and disability cover.</t>
        </is>
      </c>
      <c r="E88" s="43" t="inlineStr">
        <is>
          <t>pilot-v2-doc-pmsby-0001-8851a01ce006</t>
        </is>
      </c>
      <c r="F88" s="43" t="inlineStr">
        <is>
          <t>Pradhan Mantri Suraksha Bima Yojana</t>
        </is>
      </c>
      <c r="G88" s="43" t="inlineStr">
        <is>
          <t>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Free Number - 1800-180-1111 / 1800-110-001. One can also avail cover under PMSBY online using their bank's Net banking facility.</t>
        </is>
      </c>
      <c r="H88" s="49" t="inlineStr">
        <is>
          <t>1</t>
        </is>
      </c>
      <c r="I88" s="49" t="str"/>
      <c r="J88" s="55">
        <f>INT((ROW()-2)/50)+1</f>
        <v/>
      </c>
      <c r="K88" s="55">
        <f>IF(H88="","Pending",IF(OR(H88="0",H88="1",H88="2",H88="U"),"Complete","Invalid"))</f>
        <v/>
      </c>
    </row>
    <row r="89" ht="84" customHeight="1">
      <c r="A89" s="43" t="inlineStr">
        <is>
          <t>v2q-018-candidate-10</t>
        </is>
      </c>
      <c r="B89" s="43" t="inlineStr">
        <is>
          <t>v2q-018</t>
        </is>
      </c>
      <c r="C89" s="43" t="inlineStr">
        <is>
          <t>Which initiative helps city households across officially defined lower and middle income bands obtain permanent homes?</t>
        </is>
      </c>
      <c r="D89" s="43" t="inlineStr">
        <is>
          <t>Pradhan Mantri Awas Yojana–Urban addresses urban housing shortages and supports eligible EWS, LIG, and MIG households, including slum dwellers.</t>
        </is>
      </c>
      <c r="E89" s="43" t="inlineStr">
        <is>
          <t>pilot-v2-doc-pmay-u-0001-b64fadc4bf6b</t>
        </is>
      </c>
      <c r="F89" s="43" t="inlineStr">
        <is>
          <t>Pradhan Mantri Awas Yojana - Urban</t>
        </is>
      </c>
      <c r="G89"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89" s="49" t="inlineStr">
        <is>
          <t>2</t>
        </is>
      </c>
      <c r="I89" s="49" t="str"/>
      <c r="J89" s="55">
        <f>INT((ROW()-2)/50)+1</f>
        <v/>
      </c>
      <c r="K89" s="55">
        <f>IF(H89="","Pending",IF(OR(H89="0",H89="1",H89="2",H89="U"),"Complete","Invalid"))</f>
        <v/>
      </c>
    </row>
    <row r="90" ht="84" customHeight="1">
      <c r="A90" s="43" t="inlineStr">
        <is>
          <t>v2q-007-candidate-19</t>
        </is>
      </c>
      <c r="B90" s="43" t="inlineStr">
        <is>
          <t>v2q-007</t>
        </is>
      </c>
      <c r="C90" s="43" t="inlineStr">
        <is>
          <t>What is the full form of PMJJBY, and which event does its life insurance cover?</t>
        </is>
      </c>
      <c r="D90" s="43" t="inlineStr">
        <is>
          <t>PMJJBY stands for Pradhan Mantri Jeevan Jyoti Bima Yojana and provides life-insurance cover for death due to any reason.</t>
        </is>
      </c>
      <c r="E90" s="43" t="inlineStr">
        <is>
          <t>pilot-v2-doc-pm-kmy-guidelines-0020-27037b9fe8a1</t>
        </is>
      </c>
      <c r="F90" s="43" t="inlineStr">
        <is>
          <t>Pradhan Mantri Kisan Maan Dhan Yojana Operational Guidelines</t>
        </is>
      </c>
      <c r="G90"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90" s="49" t="inlineStr">
        <is>
          <t>0</t>
        </is>
      </c>
      <c r="I90" s="49" t="str"/>
      <c r="J90" s="55">
        <f>INT((ROW()-2)/50)+1</f>
        <v/>
      </c>
      <c r="K90" s="55">
        <f>IF(H90="","Pending",IF(OR(H90="0",H90="1",H90="2",H90="U"),"Complete","Invalid"))</f>
        <v/>
      </c>
    </row>
    <row r="91" ht="84" customHeight="1">
      <c r="A91" s="43" t="inlineStr">
        <is>
          <t>v2q-014-candidate-15</t>
        </is>
      </c>
      <c r="B91" s="43" t="inlineStr">
        <is>
          <t>v2q-014</t>
        </is>
      </c>
      <c r="C91" s="43" t="inlineStr">
        <is>
          <t>Under the national ration programme, what monthly cereal allocation goes to families in the poorest entitlement tier and to each person in the priority tier?</t>
        </is>
      </c>
      <c r="D91" s="43" t="inlineStr">
        <is>
          <t>AAY families receive 35 kilograms per family per month, while PHH beneficiaries receive 5 kilograms per person per month.</t>
        </is>
      </c>
      <c r="E91" s="43" t="inlineStr">
        <is>
          <t>pilot-v2-doc-pmay-g-0004-f8ee90715c3f</t>
        </is>
      </c>
      <c r="F91" s="43" t="inlineStr">
        <is>
          <t>Pradhan Mantri Awaas Yojana - Gramin</t>
        </is>
      </c>
      <c r="G91" s="43" t="inlineStr">
        <is>
          <t>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is>
      </c>
      <c r="H91" s="49" t="inlineStr">
        <is>
          <t>0</t>
        </is>
      </c>
      <c r="I91" s="49" t="str"/>
      <c r="J91" s="55">
        <f>INT((ROW()-2)/50)+1</f>
        <v/>
      </c>
      <c r="K91" s="55">
        <f>IF(H91="","Pending",IF(OR(H91="0",H91="1",H91="2",H91="U"),"Complete","Invalid"))</f>
        <v/>
      </c>
    </row>
    <row r="92" ht="84" customHeight="1">
      <c r="A92" s="43" t="inlineStr">
        <is>
          <t>v2q-015-candidate-12</t>
        </is>
      </c>
      <c r="B92" s="43" t="inlineStr">
        <is>
          <t>v2q-015</t>
        </is>
      </c>
      <c r="C92" s="43" t="inlineStr">
        <is>
          <t>Which initiative helps job-seekers and established craftspeople launch small businesses outside agriculture?</t>
        </is>
      </c>
      <c r="D92" s="43" t="inlineStr">
        <is>
          <t>The Prime Minister's Employment Generation Programme supports new micro-enterprises to create self-employment for traditional artisans, unemployed youth, and other eligible beneficiaries.</t>
        </is>
      </c>
      <c r="E92" s="43" t="inlineStr">
        <is>
          <t>pilot-v2-doc-pm-kisan-guidelines-0005-7d487843ff7f</t>
        </is>
      </c>
      <c r="F92" s="43" t="inlineStr">
        <is>
          <t>PM-KISAN Operational Guidelines</t>
        </is>
      </c>
      <c r="G92" s="43" t="inlineStr">
        <is>
          <t>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is>
      </c>
      <c r="H92" s="49" t="inlineStr">
        <is>
          <t>0</t>
        </is>
      </c>
      <c r="I92" s="49" t="str"/>
      <c r="J92" s="55">
        <f>INT((ROW()-2)/50)+1</f>
        <v/>
      </c>
      <c r="K92" s="55">
        <f>IF(H92="","Pending",IF(OR(H92="0",H92="1",H92="2",H92="U"),"Complete","Invalid"))</f>
        <v/>
      </c>
    </row>
    <row r="93" ht="84" customHeight="1">
      <c r="A93" s="43" t="inlineStr">
        <is>
          <t>v2q-004-candidate-16</t>
        </is>
      </c>
      <c r="B93" s="43" t="inlineStr">
        <is>
          <t>v2q-004</t>
        </is>
      </c>
      <c r="C93" s="43" t="inlineStr">
        <is>
          <t>What is the maximum micro-loan amount stated for PMMY?</t>
        </is>
      </c>
      <c r="D93" s="43" t="inlineStr">
        <is>
          <t>PMMY facilitates micro-credit loans up to ₹20 lakh for eligible income-generating micro-enterprises.</t>
        </is>
      </c>
      <c r="E93" s="43" t="inlineStr">
        <is>
          <t>pilot-v2-doc-pm-kmy-guidelines-0022-e87f63954812</t>
        </is>
      </c>
      <c r="F93" s="43" t="inlineStr">
        <is>
          <t>Pradhan Mantri Kisan Maan Dhan Yojana Operational Guidelines</t>
        </is>
      </c>
      <c r="G93" s="43" t="inlineStr">
        <is>
          <t>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 liability on the other participating stakeholders. The
process to be followed for dispute resolution is provided in the MoUs.
g)    Any matter related to execution, grievance redressal, dispute resolution etc. shall
be  referred  to  the  Joint  Secretary (Farmers  Welfare), Department  of  Agriculture,
Cooperation and Farmers Welfare, Ministry of Agriculture &amp; farmers Welfare,  Krishi
Bhavan, New Delhi – 110001 for redressal.
                                    ******
                                              15
प्रधानमंत्री किसान मानधन योजना (पीएम-िेएमवाई)
                                  प्रचालन संबंधी दिशाननिेश
1. स्िनम
      सरकार  ने  देश  के सभी भूधारक लघु और  सीमाांत  ककसानों  के ललए  "प्रधानमांत्री ककसान
मान-धन  योजना  (पीएम-केएमवाई)", नामक  वृद्धावस्था  पेंशन  योजना   शुरू  की   है  जो एक
स्वैच्छिक और अांशदायी पेंशन  स्कीम  है और इसमें शालमल  होने की आयु 18 से 40 वर्ष  है। यह
स्कीम    9 अगस्त, 2019 से प्रभावी  है।
2. उद्िेश्य और लाभ
      सरकार की ओर से ककसानों के ललए आय और मूल्य समथषन के ललए कई योजनाएां चलाई
गई  हैं। तथापप, ककसानों के ललए एक सामाच्जक  सुरक्षा कवच सृच्जत करने की जरूरत महसूस की
गई  है  क्योंकक  वृद्धावस्था   में अधधकाांश ककसानों की आजीपवका  के साधन नह रह जाते। खेती-
बाडी के ललए  खेतों  में कडी मेहनत करनी होती  है जो उनकी  उम्र की इस अवस्था  में कन न होता
है। यह समस्या लघु और सीमाांत ककसानों के ललए और भी बडी होती  है क्योंकक उनके पास  बुढापे
में बेहद मामूल  या  शून्य बचत होती  है।  प्रधानमांत्री ककसान मान धन योजना (पीएम-केएमवाई) के
अांतगषत सभी भूधारक लघु और  सीमाांत ककसानों  पुरूर् और  स्त्री  दोनों  के ललए</t>
        </is>
      </c>
      <c r="H93" s="49" t="inlineStr">
        <is>
          <t>0</t>
        </is>
      </c>
      <c r="I93" s="49" t="str"/>
      <c r="J93" s="55">
        <f>INT((ROW()-2)/50)+1</f>
        <v/>
      </c>
      <c r="K93" s="55">
        <f>IF(H93="","Pending",IF(OR(H93="0",H93="1",H93="2",H93="U"),"Complete","Invalid"))</f>
        <v/>
      </c>
    </row>
    <row r="94" ht="84" customHeight="1">
      <c r="A94" s="43" t="inlineStr">
        <is>
          <t>v2q-013-candidate-15</t>
        </is>
      </c>
      <c r="B94" s="43" t="inlineStr">
        <is>
          <t>v2q-013</t>
        </is>
      </c>
      <c r="C94" s="43" t="inlineStr">
        <is>
          <t>Which initiative helps women in low-income countryside homes replace smoke-producing solid cooking materials with bottled gas?</t>
        </is>
      </c>
      <c r="D94" s="43" t="inlineStr">
        <is>
          <t>Pradhan Mantri Ujjwala Yojana provides LPG access to rural and deprived households that previously relied on traditional cooking fuels.</t>
        </is>
      </c>
      <c r="E94" s="43" t="inlineStr">
        <is>
          <t>pilot-v2-doc-ab-pmjay-0001-a632a7205efc</t>
        </is>
      </c>
      <c r="F94" s="43" t="inlineStr">
        <is>
          <t>Ayushman Bharat - Pradhan Mantri Jan Arogya Yojana</t>
        </is>
      </c>
      <c r="G94"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94" s="49" t="inlineStr">
        <is>
          <t>0</t>
        </is>
      </c>
      <c r="I94" s="49" t="str"/>
      <c r="J94" s="55">
        <f>INT((ROW()-2)/50)+1</f>
        <v/>
      </c>
      <c r="K94" s="55">
        <f>IF(H94="","Pending",IF(OR(H94="0",H94="1",H94="2",H94="U"),"Complete","Invalid"))</f>
        <v/>
      </c>
    </row>
    <row r="95" ht="84" customHeight="1">
      <c r="A95" s="43" t="inlineStr">
        <is>
          <t>v2q-002-candidate-23</t>
        </is>
      </c>
      <c r="B95" s="43" t="inlineStr">
        <is>
          <t>v2q-002</t>
        </is>
      </c>
      <c r="C95" s="43" t="inlineStr">
        <is>
          <t>What maximum premium rates can farmers pay under PMFBY for Kharif, Rabi, and annual commercial or horticultural crops?</t>
        </is>
      </c>
      <c r="D95" s="43" t="inlineStr">
        <is>
          <t>Farmers pay at most 2% for Kharif food and oilseed crops, 1.5% for Rabi food and oilseed crops, and 5% for annual commercial or horticultural crops.</t>
        </is>
      </c>
      <c r="E95" s="43" t="inlineStr">
        <is>
          <t>pilot-v2-doc-apy-0003-68e7199c9d14</t>
        </is>
      </c>
      <c r="F95" s="43" t="inlineStr">
        <is>
          <t>Atal Pension Yojana</t>
        </is>
      </c>
      <c r="G95"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95" s="49" t="inlineStr">
        <is>
          <t>0</t>
        </is>
      </c>
      <c r="I95" s="49" t="str"/>
      <c r="J95" s="55">
        <f>INT((ROW()-2)/50)+1</f>
        <v/>
      </c>
      <c r="K95" s="55">
        <f>IF(H95="","Pending",IF(OR(H95="0",H95="1",H95="2",H95="U"),"Complete","Invalid"))</f>
        <v/>
      </c>
    </row>
    <row r="96" ht="84" customHeight="1">
      <c r="A96" s="43" t="inlineStr">
        <is>
          <t>v2q-007-candidate-09</t>
        </is>
      </c>
      <c r="B96" s="43" t="inlineStr">
        <is>
          <t>v2q-007</t>
        </is>
      </c>
      <c r="C96" s="43" t="inlineStr">
        <is>
          <t>What is the full form of PMJJBY, and which event does its life insurance cover?</t>
        </is>
      </c>
      <c r="D96" s="43" t="inlineStr">
        <is>
          <t>PMJJBY stands for Pradhan Mantri Jeevan Jyoti Bima Yojana and provides life-insurance cover for death due to any reason.</t>
        </is>
      </c>
      <c r="E96" s="43" t="inlineStr">
        <is>
          <t>pilot-v2-doc-pm-kmy-guidelines-0002-ae644e1f8c00</t>
        </is>
      </c>
      <c r="F96" s="43" t="inlineStr">
        <is>
          <t>Pradhan Mantri Kisan Maan Dhan Yojana Operational Guidelines</t>
        </is>
      </c>
      <c r="G96"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96" s="49" t="inlineStr">
        <is>
          <t>0</t>
        </is>
      </c>
      <c r="I96" s="49" t="str"/>
      <c r="J96" s="55">
        <f>INT((ROW()-2)/50)+1</f>
        <v/>
      </c>
      <c r="K96" s="55">
        <f>IF(H96="","Pending",IF(OR(H96="0",H96="1",H96="2",H96="U"),"Complete","Invalid"))</f>
        <v/>
      </c>
    </row>
    <row r="97" ht="84" customHeight="1">
      <c r="A97" s="43" t="inlineStr">
        <is>
          <t>v2q-023-candidate-07</t>
        </is>
      </c>
      <c r="B97" s="43" t="inlineStr">
        <is>
          <t>v2q-023</t>
        </is>
      </c>
      <c r="C97" s="43" t="inlineStr">
        <is>
          <t>What role does a Gram Panchayat play when a household registers for MGNREGA?</t>
        </is>
      </c>
      <c r="D97" s="43" t="inlineStr">
        <is>
          <t>A household may apply through its local Gram Panchayat, which verifies residence, household identity, and adult membership details.</t>
        </is>
      </c>
      <c r="E97" s="43" t="inlineStr">
        <is>
          <t>pilot-v2-doc-pm-svanidhi-0000-f6024bb09ca5</t>
        </is>
      </c>
      <c r="F97" s="43" t="inlineStr">
        <is>
          <t>PM Street Vendor’s AtmaNirbhar Nidhi (PM SVANidhi)</t>
        </is>
      </c>
      <c r="G97"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97" s="49" t="inlineStr">
        <is>
          <t>0</t>
        </is>
      </c>
      <c r="I97" s="49" t="str"/>
      <c r="J97" s="55">
        <f>INT((ROW()-2)/50)+1</f>
        <v/>
      </c>
      <c r="K97" s="55">
        <f>IF(H97="","Pending",IF(OR(H97="0",H97="1",H97="2",H97="U"),"Complete","Invalid"))</f>
        <v/>
      </c>
    </row>
    <row r="98" ht="84" customHeight="1">
      <c r="A98" s="43" t="inlineStr">
        <is>
          <t>v2q-016-candidate-03</t>
        </is>
      </c>
      <c r="B98" s="43" t="inlineStr">
        <is>
          <t>v2q-016</t>
        </is>
      </c>
      <c r="C98" s="43" t="inlineStr">
        <is>
          <t>How can an experienced worker obtain formal recognition for skills learned outside a training course?</t>
        </is>
      </c>
      <c r="D98" s="43" t="inlineStr">
        <is>
          <t>PMKVY 4.0 Recognition of Prior Learning assesses, upskills, and certifies candidates who already possess relevant skills or prior-learning experience.</t>
        </is>
      </c>
      <c r="E98" s="43" t="inlineStr">
        <is>
          <t>pilot-v2-doc-pmkvy-sp-0004-57e566374b9c</t>
        </is>
      </c>
      <c r="F98" s="43" t="inlineStr">
        <is>
          <t>Pradhan Mantri Kaushal Vikas Yojana 4.0- Special Projects</t>
        </is>
      </c>
      <c r="G98" s="43" t="inlineStr">
        <is>
          <t>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 applicant appears for assessment by an NCVET-approved Awarding Body / Assessment Agency after completion of On-the-Job Training, requiring more than 70% biometric attendance to be eligible. Stage 9: On successful completion, the applicant is awarded a Quick Response (QR) code-based digital certificate, issued via DigiLocker, an email/phone download link, and the Skill India Digital profile page, along with one printed certificate provided free of cost by the Training Provider.</t>
        </is>
      </c>
      <c r="H98" s="49" t="inlineStr">
        <is>
          <t>1</t>
        </is>
      </c>
      <c r="I98" s="49" t="str"/>
      <c r="J98" s="55">
        <f>INT((ROW()-2)/50)+1</f>
        <v/>
      </c>
      <c r="K98" s="55">
        <f>IF(H98="","Pending",IF(OR(H98="0",H98="1",H98="2",H98="U"),"Complete","Invalid"))</f>
        <v/>
      </c>
    </row>
    <row r="99" ht="84" customHeight="1">
      <c r="A99" s="43" t="inlineStr">
        <is>
          <t>v2q-023-candidate-19</t>
        </is>
      </c>
      <c r="B99" s="43" t="inlineStr">
        <is>
          <t>v2q-023</t>
        </is>
      </c>
      <c r="C99" s="43" t="inlineStr">
        <is>
          <t>What role does a Gram Panchayat play when a household registers for MGNREGA?</t>
        </is>
      </c>
      <c r="D99" s="43" t="inlineStr">
        <is>
          <t>A household may apply through its local Gram Panchayat, which verifies residence, household identity, and adult membership details.</t>
        </is>
      </c>
      <c r="E99" s="43" t="inlineStr">
        <is>
          <t>pilot-v2-doc-pmay-g-0002-e08c1e347071</t>
        </is>
      </c>
      <c r="F99" s="43" t="inlineStr">
        <is>
          <t>Pradhan Mantri Awaas Yojana - Gramin</t>
        </is>
      </c>
      <c r="G99"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99" s="49" t="inlineStr">
        <is>
          <t>0</t>
        </is>
      </c>
      <c r="I99" s="49" t="str"/>
      <c r="J99" s="55">
        <f>INT((ROW()-2)/50)+1</f>
        <v/>
      </c>
      <c r="K99" s="55">
        <f>IF(H99="","Pending",IF(OR(H99="0",H99="1",H99="2",H99="U"),"Complete","Invalid"))</f>
        <v/>
      </c>
    </row>
    <row r="100" ht="84" customHeight="1">
      <c r="A100" s="43" t="inlineStr">
        <is>
          <t>v2q-022-candidate-18</t>
        </is>
      </c>
      <c r="B100" s="43" t="inlineStr">
        <is>
          <t>v2q-022</t>
        </is>
      </c>
      <c r="C100" s="43" t="inlineStr">
        <is>
          <t>Which finance programme relies on Member Lending Institutions to extend assistance to non-corporate micro-enterprises?</t>
        </is>
      </c>
      <c r="D100" s="43" t="inlineStr">
        <is>
          <t>Eligible Member Lending Institutions extend PMMY financial assistance and provide the scheme’s micro-loans to qualifying micro and small enterprises.</t>
        </is>
      </c>
      <c r="E100" s="43" t="inlineStr">
        <is>
          <t>pilot-v2-doc-pm-gkay-0000-c29b96f46a80</t>
        </is>
      </c>
      <c r="F100" s="43" t="inlineStr">
        <is>
          <t>Pradhan Mantri Garib Kalyan Anna Yojana</t>
        </is>
      </c>
      <c r="G100"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100" s="49" t="inlineStr">
        <is>
          <t>0</t>
        </is>
      </c>
      <c r="I100" s="49" t="str"/>
      <c r="J100" s="55">
        <f>INT((ROW()-2)/50)+1</f>
        <v/>
      </c>
      <c r="K100" s="55">
        <f>IF(H100="","Pending",IF(OR(H100="0",H100="1",H100="2",H100="U"),"Complete","Invalid"))</f>
        <v/>
      </c>
    </row>
    <row r="101" ht="84" customHeight="1">
      <c r="A101" s="43" t="inlineStr">
        <is>
          <t>v2q-003-candidate-24</t>
        </is>
      </c>
      <c r="B101" s="43" t="inlineStr">
        <is>
          <t>v2q-003</t>
        </is>
      </c>
      <c r="C101" s="43" t="inlineStr">
        <is>
          <t>What revised overdraft limit and RuPay accidental-insurance cover are stated for PMJDY?</t>
        </is>
      </c>
      <c r="D101" s="43" t="inlineStr">
        <is>
          <t>PMJDY states a revised overdraft limit of ₹10,000 and accidental-insurance cover of ₹2 lakh for RuPay cardholders.</t>
        </is>
      </c>
      <c r="E101" s="43" t="inlineStr">
        <is>
          <t>pilot-v2-doc-ab-pmjay-0000-94c82a474579</t>
        </is>
      </c>
      <c r="F101" s="43" t="inlineStr">
        <is>
          <t>Ayushman Bharat - Pradhan Mantri Jan Arogya Yojana</t>
        </is>
      </c>
      <c r="G101"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101" s="49" t="inlineStr">
        <is>
          <t>0</t>
        </is>
      </c>
      <c r="I101" s="49" t="str"/>
      <c r="J101" s="55">
        <f>INT((ROW()-2)/50)+1</f>
        <v/>
      </c>
      <c r="K101" s="55">
        <f>IF(H101="","Pending",IF(OR(H101="0",H101="1",H101="2",H101="U"),"Complete","Invalid"))</f>
        <v/>
      </c>
    </row>
    <row r="102" ht="84" customHeight="1">
      <c r="A102" s="43" t="inlineStr">
        <is>
          <t>v2q-003-candidate-03</t>
        </is>
      </c>
      <c r="B102" s="43" t="inlineStr">
        <is>
          <t>v2q-003</t>
        </is>
      </c>
      <c r="C102" s="43" t="inlineStr">
        <is>
          <t>What revised overdraft limit and RuPay accidental-insurance cover are stated for PMJDY?</t>
        </is>
      </c>
      <c r="D102" s="43" t="inlineStr">
        <is>
          <t>PMJDY states a revised overdraft limit of ₹10,000 and accidental-insurance cover of ₹2 lakh for RuPay cardholders.</t>
        </is>
      </c>
      <c r="E102" s="43" t="inlineStr">
        <is>
          <t>pilot-v2-doc-pm-svanidhi-0001-e06d259b429d</t>
        </is>
      </c>
      <c r="F102" s="43" t="inlineStr">
        <is>
          <t>PM Street Vendor’s AtmaNirbhar Nidhi (PM SVANidhi)</t>
        </is>
      </c>
      <c r="G102"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102" s="49" t="inlineStr">
        <is>
          <t>0</t>
        </is>
      </c>
      <c r="I102" s="49" t="str"/>
      <c r="J102" s="55">
        <f>INT((ROW()-2)/50)+1</f>
        <v/>
      </c>
      <c r="K102" s="55">
        <f>IF(H102="","Pending",IF(OR(H102="0",H102="1",H102="2",H102="U"),"Complete","Invalid"))</f>
        <v/>
      </c>
    </row>
    <row r="103" ht="84" customHeight="1">
      <c r="A103" s="43" t="inlineStr">
        <is>
          <t>v2q-021-candidate-02</t>
        </is>
      </c>
      <c r="B103" s="43" t="inlineStr">
        <is>
          <t>v2q-021</t>
        </is>
      </c>
      <c r="C103" s="43" t="inlineStr">
        <is>
          <t>How do insurance companies and banks participate in PMFBY?</t>
        </is>
      </c>
      <c r="D103" s="43" t="inlineStr">
        <is>
          <t>PMFBY is implemented through a network of insurance companies and banks to provide crop-insurance protection to farmers.</t>
        </is>
      </c>
      <c r="E103" s="43" t="inlineStr">
        <is>
          <t>pilot-v2-doc-mgnrega-0000-7e6d80b47566</t>
        </is>
      </c>
      <c r="F103" s="43" t="inlineStr">
        <is>
          <t>Mahatma Gandhi National Rural Employment Guarantee Act</t>
        </is>
      </c>
      <c r="G103"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103" s="49" t="inlineStr">
        <is>
          <t>0</t>
        </is>
      </c>
      <c r="I103" s="49" t="str"/>
      <c r="J103" s="55">
        <f>INT((ROW()-2)/50)+1</f>
        <v/>
      </c>
      <c r="K103" s="55">
        <f>IF(H103="","Pending",IF(OR(H103="0",H103="1",H103="2",H103="U"),"Complete","Invalid"))</f>
        <v/>
      </c>
    </row>
    <row r="104" ht="84" customHeight="1">
      <c r="A104" s="43" t="inlineStr">
        <is>
          <t>v2q-020-candidate-18</t>
        </is>
      </c>
      <c r="B104" s="43" t="inlineStr">
        <is>
          <t>v2q-020</t>
        </is>
      </c>
      <c r="C104" s="43" t="inlineStr">
        <is>
          <t>How do NSDC and SPIAs divide responsibility in the Special Projects arm of the national skill mission?</t>
        </is>
      </c>
      <c r="D104" s="43" t="inlineStr">
        <is>
          <t>NSDC supports the ministry’s implementation, while Special Projects Implementing Agencies deliver the projects on the ground.</t>
        </is>
      </c>
      <c r="E104" s="43" t="inlineStr">
        <is>
          <t>pilot-v2-doc-pm-kisan-guidelines-0007-38a7fcb29c5d</t>
        </is>
      </c>
      <c r="F104" s="43" t="inlineStr">
        <is>
          <t>PM-KISAN Operational Guidelines</t>
        </is>
      </c>
      <c r="G104" s="43" t="inlineStr">
        <is>
          <t>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 Jharkhand,
the following proposal of Government of Jharkhand was considered and approved by
the Committee:
“The farmer will be asked to submit ‘Vanshavali (Lineage)’ linked to the entry of land
record comprising his \ her ancestor’s name giving a chart of successor. This lineage
chart shall be submitted before the Gram Sabha for calling objections. After approval of
the Gram Sabha, the  village  level  \  circle  level revenue  officials  will  verify and
authenticate the Vanshawali and possession of holding. This authenticated  list of
farmers after due verification of succession chart shall be countersigned by the District
level revenue  authority. Farmers’ names,  subject  to the exclusion  criterion  after
following the aforementioned process, shall be uploaded on the PM-Kisan portal along
with other required details for this disbursement of benefit under the scheme.”
6.    Strategy for Implementation
6.1   The States shall prepare database of eligible beneficiary land holder farmer
families in the villages capturing the Name, Age, Gender, Category (SC/ST), Aadhaar
Number, Bank  Account Number and  the  Mobile Number  of  the  beneficiaries.
Responsibility of identifying the land holder farmer family eligible for benefit under the
scheme shall be of the State  / UT Government. In case of beneficiaries in States of
Assam, Meghalaya, J&amp;K where Aadhaar number has not been issued to most of the
citizens, Aadhaar number shall be collected for those beneficiaries where it is available
and for others alternate prescribed documents such as Driving Licence, Voters’ ID Card,
NREGA</t>
        </is>
      </c>
      <c r="H104" s="49" t="inlineStr">
        <is>
          <t>0</t>
        </is>
      </c>
      <c r="I104" s="49" t="str"/>
      <c r="J104" s="55">
        <f>INT((ROW()-2)/50)+1</f>
        <v/>
      </c>
      <c r="K104" s="55">
        <f>IF(H104="","Pending",IF(OR(H104="0",H104="1",H104="2",H104="U"),"Complete","Invalid"))</f>
        <v/>
      </c>
    </row>
    <row r="105" ht="84" customHeight="1">
      <c r="A105" s="43" t="inlineStr">
        <is>
          <t>v2q-027-candidate-07</t>
        </is>
      </c>
      <c r="B105" s="43" t="inlineStr">
        <is>
          <t>v2q-027</t>
        </is>
      </c>
      <c r="C105" s="43" t="inlineStr">
        <is>
          <t>What livelihood mechanism does PM SVANidhi offer street vendors, and which other programme from its ministry addresses housing shortages for eligible urban households?</t>
        </is>
      </c>
      <c r="D105" s="43" t="inlineStr">
        <is>
          <t>PM SVANidhi offers street vendors collateral-free working-capital loans, interest subsidy, and digital-payment incentives. PMAY-U, under the same Ministry of Housing and Urban Affairs, provides housing support for eligible urban households.</t>
        </is>
      </c>
      <c r="E105" s="43" t="inlineStr">
        <is>
          <t>pilot-v2-doc-pmay-g-0000-d4162175877d</t>
        </is>
      </c>
      <c r="F105" s="43" t="inlineStr">
        <is>
          <t>Pradhan Mantri Awaas Yojana - Gramin</t>
        </is>
      </c>
      <c r="G105"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105" s="49" t="inlineStr">
        <is>
          <t>0</t>
        </is>
      </c>
      <c r="I105" s="49" t="str"/>
      <c r="J105" s="55">
        <f>INT((ROW()-2)/50)+1</f>
        <v/>
      </c>
      <c r="K105" s="55">
        <f>IF(H105="","Pending",IF(OR(H105="0",H105="1",H105="2",H105="U"),"Complete","Invalid"))</f>
        <v/>
      </c>
    </row>
    <row r="106" ht="84" customHeight="1">
      <c r="A106" s="43" t="inlineStr">
        <is>
          <t>v2q-021-candidate-09</t>
        </is>
      </c>
      <c r="B106" s="43" t="inlineStr">
        <is>
          <t>v2q-021</t>
        </is>
      </c>
      <c r="C106" s="43" t="inlineStr">
        <is>
          <t>How do insurance companies and banks participate in PMFBY?</t>
        </is>
      </c>
      <c r="D106" s="43" t="inlineStr">
        <is>
          <t>PMFBY is implemented through a network of insurance companies and banks to provide crop-insurance protection to farmers.</t>
        </is>
      </c>
      <c r="E106" s="43" t="inlineStr">
        <is>
          <t>pilot-v2-doc-pmjdy-0000-8b241ec39723</t>
        </is>
      </c>
      <c r="F106" s="43" t="inlineStr">
        <is>
          <t>Pradhan Mantri Jan Dhan Yojana</t>
        </is>
      </c>
      <c r="G106"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106" s="49" t="inlineStr">
        <is>
          <t>0</t>
        </is>
      </c>
      <c r="I106" s="49" t="str"/>
      <c r="J106" s="55">
        <f>INT((ROW()-2)/50)+1</f>
        <v/>
      </c>
      <c r="K106" s="55">
        <f>IF(H106="","Pending",IF(OR(H106="0",H106="1",H106="2",H106="U"),"Complete","Invalid"))</f>
        <v/>
      </c>
    </row>
    <row r="107" ht="84" customHeight="1">
      <c r="A107" s="43" t="inlineStr">
        <is>
          <t>v2q-003-candidate-15</t>
        </is>
      </c>
      <c r="B107" s="43" t="inlineStr">
        <is>
          <t>v2q-003</t>
        </is>
      </c>
      <c r="C107" s="43" t="inlineStr">
        <is>
          <t>What revised overdraft limit and RuPay accidental-insurance cover are stated for PMJDY?</t>
        </is>
      </c>
      <c r="D107" s="43" t="inlineStr">
        <is>
          <t>PMJDY states a revised overdraft limit of ₹10,000 and accidental-insurance cover of ₹2 lakh for RuPay cardholders.</t>
        </is>
      </c>
      <c r="E107" s="43" t="inlineStr">
        <is>
          <t>pilot-v2-doc-apy-0000-c43dd88d7899</t>
        </is>
      </c>
      <c r="F107" s="43" t="inlineStr">
        <is>
          <t>Atal Pension Yojana</t>
        </is>
      </c>
      <c r="G107"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107" s="49" t="inlineStr">
        <is>
          <t>0</t>
        </is>
      </c>
      <c r="I107" s="49" t="str"/>
      <c r="J107" s="55">
        <f>INT((ROW()-2)/50)+1</f>
        <v/>
      </c>
      <c r="K107" s="55">
        <f>IF(H107="","Pending",IF(OR(H107="0",H107="1",H107="2",H107="U"),"Complete","Invalid"))</f>
        <v/>
      </c>
    </row>
    <row r="108" ht="84" customHeight="1">
      <c r="A108" s="43" t="inlineStr">
        <is>
          <t>v2q-031-candidate-08</t>
        </is>
      </c>
      <c r="B108" s="43" t="inlineStr">
        <is>
          <t>v2q-031</t>
        </is>
      </c>
      <c r="C108" s="43" t="inlineStr">
        <is>
          <t>How do three finance-sector programmes combine basic banking, life insurance, and accident insurance?</t>
        </is>
      </c>
      <c r="D108" s="43" t="inlineStr">
        <is>
          <t>PMJDY provides universal banking and access to financial services; PMJJBY supplies life cover for death from any cause; PMSBY supplies accidental-death and disability cover.</t>
        </is>
      </c>
      <c r="E108" s="43" t="inlineStr">
        <is>
          <t>pilot-v2-doc-pm-kmy-guidelines-0004-79b3bf95bb65</t>
        </is>
      </c>
      <c r="F108" s="43" t="inlineStr">
        <is>
          <t>Pradhan Mantri Kisan Maan Dhan Yojana Operational Guidelines</t>
        </is>
      </c>
      <c r="G108"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108" s="49" t="inlineStr">
        <is>
          <t>0</t>
        </is>
      </c>
      <c r="I108" s="49" t="str"/>
      <c r="J108" s="55">
        <f>INT((ROW()-2)/50)+1</f>
        <v/>
      </c>
      <c r="K108" s="55">
        <f>IF(H108="","Pending",IF(OR(H108="0",H108="1",H108="2",H108="U"),"Complete","Invalid"))</f>
        <v/>
      </c>
    </row>
    <row r="109" ht="84" customHeight="1">
      <c r="A109" s="43" t="inlineStr">
        <is>
          <t>v2q-026-candidate-12</t>
        </is>
      </c>
      <c r="B109" s="43" t="inlineStr">
        <is>
          <t>v2q-026</t>
        </is>
      </c>
      <c r="C109" s="43" t="inlineStr">
        <is>
          <t>What employment guarantee does MGNREGA provide, and which other programme from its ministry supplies pucca houses to rural households?</t>
        </is>
      </c>
      <c r="D109" s="43" t="inlineStr">
        <is>
          <t>MGNREGA guarantees at least 100 days of wage employment to qualifying rural households. PMAY-G, under the same Ministry of Rural Development, supports pucca houses with basic amenities for eligible rural households.</t>
        </is>
      </c>
      <c r="E109" s="43" t="inlineStr">
        <is>
          <t>pilot-v2-doc-pm-janman-0002-d0844e3327b6</t>
        </is>
      </c>
      <c r="F109" s="43" t="inlineStr">
        <is>
          <t>PM Janjati Adivasi Nyaya Maha Abhiyan (PM JANMAN)</t>
        </is>
      </c>
      <c r="G109"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109" s="49" t="inlineStr">
        <is>
          <t>0</t>
        </is>
      </c>
      <c r="I109" s="49" t="str"/>
      <c r="J109" s="55">
        <f>INT((ROW()-2)/50)+1</f>
        <v/>
      </c>
      <c r="K109" s="55">
        <f>IF(H109="","Pending",IF(OR(H109="0",H109="1",H109="2",H109="U"),"Complete","Invalid"))</f>
        <v/>
      </c>
    </row>
    <row r="110" ht="84" customHeight="1">
      <c r="A110" s="43" t="inlineStr">
        <is>
          <t>v2q-005-candidate-04</t>
        </is>
      </c>
      <c r="B110" s="43" t="inlineStr">
        <is>
          <t>v2q-005</t>
        </is>
      </c>
      <c r="C110" s="43" t="inlineStr">
        <is>
          <t>How many days of wage employment does MGNREGA guarantee a rural household in a financial year?</t>
        </is>
      </c>
      <c r="D110" s="43" t="inlineStr">
        <is>
          <t>MGNREGA guarantees at least 100 days of wage employment per financial year to a rural household whose adult members volunteer for unskilled work.</t>
        </is>
      </c>
      <c r="E110" s="43" t="inlineStr">
        <is>
          <t>pilot-v2-doc-mgnrega-0001-5203a455caa6</t>
        </is>
      </c>
      <c r="F110" s="43" t="inlineStr">
        <is>
          <t>Mahatma Gandhi National Rural Employment Guarantee Act</t>
        </is>
      </c>
      <c r="G110"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110" s="49" t="inlineStr">
        <is>
          <t>2</t>
        </is>
      </c>
      <c r="I110" s="49" t="str"/>
      <c r="J110" s="55">
        <f>INT((ROW()-2)/50)+1</f>
        <v/>
      </c>
      <c r="K110" s="55">
        <f>IF(H110="","Pending",IF(OR(H110="0",H110="1",H110="2",H110="U"),"Complete","Invalid"))</f>
        <v/>
      </c>
    </row>
    <row r="111" ht="84" customHeight="1">
      <c r="A111" s="43" t="inlineStr">
        <is>
          <t>v2q-030-candidate-23</t>
        </is>
      </c>
      <c r="B111" s="43" t="inlineStr">
        <is>
          <t>v2q-030</t>
        </is>
      </c>
      <c r="C111" s="43" t="inlineStr">
        <is>
          <t>What retirement benefit does APY offer, and which life-insurance programme administered through the same department covers death from any cause?</t>
        </is>
      </c>
      <c r="D111" s="43" t="inlineStr">
        <is>
          <t>APY offers guaranteed monthly pension options after age 60. PMJJBY, associated with the same Department of Financial Services, provides life cover for death due to any reason.</t>
        </is>
      </c>
      <c r="E111" s="43" t="inlineStr">
        <is>
          <t>pilot-v2-doc-mgnrega-0000-7e6d80b47566</t>
        </is>
      </c>
      <c r="F111" s="43" t="inlineStr">
        <is>
          <t>Mahatma Gandhi National Rural Employment Guarantee Act</t>
        </is>
      </c>
      <c r="G111"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111" s="49" t="inlineStr">
        <is>
          <t>0</t>
        </is>
      </c>
      <c r="I111" s="49" t="str"/>
      <c r="J111" s="55">
        <f>INT((ROW()-2)/50)+1</f>
        <v/>
      </c>
      <c r="K111" s="55">
        <f>IF(H111="","Pending",IF(OR(H111="0",H111="1",H111="2",H111="U"),"Complete","Invalid"))</f>
        <v/>
      </c>
    </row>
    <row r="112" ht="84" customHeight="1">
      <c r="A112" s="43" t="inlineStr">
        <is>
          <t>v2q-002-candidate-18</t>
        </is>
      </c>
      <c r="B112" s="43" t="inlineStr">
        <is>
          <t>v2q-002</t>
        </is>
      </c>
      <c r="C112" s="43" t="inlineStr">
        <is>
          <t>What maximum premium rates can farmers pay under PMFBY for Kharif, Rabi, and annual commercial or horticultural crops?</t>
        </is>
      </c>
      <c r="D112" s="43" t="inlineStr">
        <is>
          <t>Farmers pay at most 2% for Kharif food and oilseed crops, 1.5% for Rabi food and oilseed crops, and 5% for annual commercial or horticultural crops.</t>
        </is>
      </c>
      <c r="E112" s="43" t="inlineStr">
        <is>
          <t>pilot-v2-doc-ab-pmjay-0003-1242266bb260</t>
        </is>
      </c>
      <c r="F112" s="43" t="inlineStr">
        <is>
          <t>Ayushman Bharat - Pradhan Mantri Jan Arogya Yojana</t>
        </is>
      </c>
      <c r="G112"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112" s="49" t="inlineStr">
        <is>
          <t>0</t>
        </is>
      </c>
      <c r="I112" s="49" t="str"/>
      <c r="J112" s="55">
        <f>INT((ROW()-2)/50)+1</f>
        <v/>
      </c>
      <c r="K112" s="55">
        <f>IF(H112="","Pending",IF(OR(H112="0",H112="1",H112="2",H112="U"),"Complete","Invalid"))</f>
        <v/>
      </c>
    </row>
    <row r="113" ht="84" customHeight="1">
      <c r="A113" s="43" t="inlineStr">
        <is>
          <t>v2q-004-candidate-22</t>
        </is>
      </c>
      <c r="B113" s="43" t="inlineStr">
        <is>
          <t>v2q-004</t>
        </is>
      </c>
      <c r="C113" s="43" t="inlineStr">
        <is>
          <t>What is the maximum micro-loan amount stated for PMMY?</t>
        </is>
      </c>
      <c r="D113" s="43" t="inlineStr">
        <is>
          <t>PMMY facilitates micro-credit loans up to ₹20 lakh for eligible income-generating micro-enterprises.</t>
        </is>
      </c>
      <c r="E113" s="43" t="inlineStr">
        <is>
          <t>pilot-v2-doc-apy-0003-68e7199c9d14</t>
        </is>
      </c>
      <c r="F113" s="43" t="inlineStr">
        <is>
          <t>Atal Pension Yojana</t>
        </is>
      </c>
      <c r="G113"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113" s="49" t="inlineStr">
        <is>
          <t>0</t>
        </is>
      </c>
      <c r="I113" s="49" t="str"/>
      <c r="J113" s="55">
        <f>INT((ROW()-2)/50)+1</f>
        <v/>
      </c>
      <c r="K113" s="55">
        <f>IF(H113="","Pending",IF(OR(H113="0",H113="1",H113="2",H113="U"),"Complete","Invalid"))</f>
        <v/>
      </c>
    </row>
    <row r="114" ht="84" customHeight="1">
      <c r="A114" s="43" t="inlineStr">
        <is>
          <t>v2q-005-candidate-19</t>
        </is>
      </c>
      <c r="B114" s="43" t="inlineStr">
        <is>
          <t>v2q-005</t>
        </is>
      </c>
      <c r="C114" s="43" t="inlineStr">
        <is>
          <t>How many days of wage employment does MGNREGA guarantee a rural household in a financial year?</t>
        </is>
      </c>
      <c r="D114" s="43" t="inlineStr">
        <is>
          <t>MGNREGA guarantees at least 100 days of wage employment per financial year to a rural household whose adult members volunteer for unskilled work.</t>
        </is>
      </c>
      <c r="E114" s="43" t="inlineStr">
        <is>
          <t>pilot-v2-doc-pm-kisan-guidelines-0005-7d487843ff7f</t>
        </is>
      </c>
      <c r="F114" s="43" t="inlineStr">
        <is>
          <t>PM-KISAN Operational Guidelines</t>
        </is>
      </c>
      <c r="G114" s="43" t="inlineStr">
        <is>
          <t>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is>
      </c>
      <c r="H114" s="49" t="inlineStr">
        <is>
          <t>0</t>
        </is>
      </c>
      <c r="I114" s="49" t="str"/>
      <c r="J114" s="55">
        <f>INT((ROW()-2)/50)+1</f>
        <v/>
      </c>
      <c r="K114" s="55">
        <f>IF(H114="","Pending",IF(OR(H114="0",H114="1",H114="2",H114="U"),"Complete","Invalid"))</f>
        <v/>
      </c>
    </row>
    <row r="115" ht="84" customHeight="1">
      <c r="A115" s="43" t="inlineStr">
        <is>
          <t>v2q-034-candidate-05</t>
        </is>
      </c>
      <c r="B115" s="43" t="inlineStr">
        <is>
          <t>v2q-034</t>
        </is>
      </c>
      <c r="C115" s="43" t="inlineStr">
        <is>
          <t>How do three programmes meet distinct household needs for rural housing, clean cooking, and food security?</t>
        </is>
      </c>
      <c r="D115" s="43" t="inlineStr">
        <is>
          <t>PMAY-G supports pucca rural housing with basic amenities; PMUY provides LPG access to deprived households replacing traditional cooking fuels; PMGKAY provides free foodgrains to eligible AAY and PHH ration-card holders.</t>
        </is>
      </c>
      <c r="E115" s="43" t="inlineStr">
        <is>
          <t>pilot-v2-doc-pm-poshan-0001-f1d73701c602</t>
        </is>
      </c>
      <c r="F115" s="43" t="inlineStr">
        <is>
          <t>PM POSHAN - Prime Minister's Overarching Scheme For Holistic Nourishment</t>
        </is>
      </c>
      <c r="G115" s="43" t="inlineStr">
        <is>
          <t>Primary: Calorie – 700; Protein - 20 gms Food norms per child per day: Primary: Food grains - 100 gms; Pulses - 20 gms; Vegetables - 50 gms; Oil &amp; fat - 5 gms, Salt &amp; condiments - As per need. Upper Primary: Food grains - 150 gms; Pulses - 30 gms; Vegetables - 75 gms; Oil &amp; fat – 7.5 gms, Salt &amp; condiments - As per need. Under the Scheme, there is the provision of hot cooked meals to children of pre-schools or Bal Vatika (before class I) in primary schools also in addition to the 11.80 crore children of classes I to VIII studying in 11.20 lakh schools.. The applicant must be a citizen of India. The applicant must be studying in a Primary or Upper Primary class (Class 1st to Class 8th) in a Government or a Government-aided school.. There is no application process for this scheme. PM POSHAN is equally applicable to all children who are studying in Government and Government – aided schools.</t>
        </is>
      </c>
      <c r="H115" s="49" t="inlineStr">
        <is>
          <t>0</t>
        </is>
      </c>
      <c r="I115" s="49" t="str"/>
      <c r="J115" s="55">
        <f>INT((ROW()-2)/50)+1</f>
        <v/>
      </c>
      <c r="K115" s="55">
        <f>IF(H115="","Pending",IF(OR(H115="0",H115="1",H115="2",H115="U"),"Complete","Invalid"))</f>
        <v/>
      </c>
    </row>
    <row r="116" ht="84" customHeight="1">
      <c r="A116" s="43" t="inlineStr">
        <is>
          <t>v2q-009-candidate-04</t>
        </is>
      </c>
      <c r="B116" s="43" t="inlineStr">
        <is>
          <t>v2q-009</t>
        </is>
      </c>
      <c r="C116" s="43" t="inlineStr">
        <is>
          <t>What does APY stand for, and what monthly pension range does it guarantee after age 60?</t>
        </is>
      </c>
      <c r="D116" s="43" t="inlineStr">
        <is>
          <t>APY stands for Atal Pension Yojana and offers guaranteed monthly pension options from ₹1,000 to ₹5,000 after age 60.</t>
        </is>
      </c>
      <c r="E116" s="43" t="inlineStr">
        <is>
          <t>pilot-v2-doc-apy-0001-add48d27a4a2</t>
        </is>
      </c>
      <c r="F116" s="43" t="inlineStr">
        <is>
          <t>Atal Pension Yojana</t>
        </is>
      </c>
      <c r="G116"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116" s="49" t="inlineStr">
        <is>
          <t>2</t>
        </is>
      </c>
      <c r="I116" s="49" t="str"/>
      <c r="J116" s="55">
        <f>INT((ROW()-2)/50)+1</f>
        <v/>
      </c>
      <c r="K116" s="55">
        <f>IF(H116="","Pending",IF(OR(H116="0",H116="1",H116="2",H116="U"),"Complete","Invalid"))</f>
        <v/>
      </c>
    </row>
    <row r="117" ht="84" customHeight="1">
      <c r="A117" s="43" t="inlineStr">
        <is>
          <t>v2q-008-candidate-13</t>
        </is>
      </c>
      <c r="B117" s="43" t="inlineStr">
        <is>
          <t>v2q-008</t>
        </is>
      </c>
      <c r="C117" s="43" t="inlineStr">
        <is>
          <t>Which accident-insurance programme is abbreviated PMSBY, and which outcomes trigger its cover?</t>
        </is>
      </c>
      <c r="D117" s="43" t="inlineStr">
        <is>
          <t>PMSBY stands for Pradhan Mantri Suraksha Bima Yojana and covers accidental death and disability.</t>
        </is>
      </c>
      <c r="E117" s="43" t="inlineStr">
        <is>
          <t>pilot-v2-doc-pmfby-0000-d9ad07736d66</t>
        </is>
      </c>
      <c r="F117" s="43" t="inlineStr">
        <is>
          <t>Pradhan Mantri Fasal Bima Yojna (PMFBY)</t>
        </is>
      </c>
      <c r="G117"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117" s="49" t="inlineStr">
        <is>
          <t>0</t>
        </is>
      </c>
      <c r="I117" s="49" t="str"/>
      <c r="J117" s="55">
        <f>INT((ROW()-2)/50)+1</f>
        <v/>
      </c>
      <c r="K117" s="55">
        <f>IF(H117="","Pending",IF(OR(H117="0",H117="1",H117="2",H117="U"),"Complete","Invalid"))</f>
        <v/>
      </c>
    </row>
    <row r="118" ht="84" customHeight="1">
      <c r="A118" s="43" t="inlineStr">
        <is>
          <t>v2q-034-candidate-12</t>
        </is>
      </c>
      <c r="B118" s="43" t="inlineStr">
        <is>
          <t>v2q-034</t>
        </is>
      </c>
      <c r="C118" s="43" t="inlineStr">
        <is>
          <t>How do three programmes meet distinct household needs for rural housing, clean cooking, and food security?</t>
        </is>
      </c>
      <c r="D118" s="43" t="inlineStr">
        <is>
          <t>PMAY-G supports pucca rural housing with basic amenities; PMUY provides LPG access to deprived households replacing traditional cooking fuels; PMGKAY provides free foodgrains to eligible AAY and PHH ration-card holders.</t>
        </is>
      </c>
      <c r="E118" s="43" t="inlineStr">
        <is>
          <t>pilot-v2-doc-pmuy2-0000-95fa2d4e3b3f</t>
        </is>
      </c>
      <c r="F118" s="43" t="inlineStr">
        <is>
          <t>Pradhan Mantri Ujjwala Yojana 2.0</t>
        </is>
      </c>
      <c r="G118"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118" s="49" t="inlineStr">
        <is>
          <t>2</t>
        </is>
      </c>
      <c r="I118" s="49" t="str"/>
      <c r="J118" s="55">
        <f>INT((ROW()-2)/50)+1</f>
        <v/>
      </c>
      <c r="K118" s="55">
        <f>IF(H118="","Pending",IF(OR(H118="0",H118="1",H118="2",H118="U"),"Complete","Invalid"))</f>
        <v/>
      </c>
    </row>
    <row r="119" ht="84" customHeight="1">
      <c r="A119" s="43" t="inlineStr">
        <is>
          <t>v2q-017-candidate-06</t>
        </is>
      </c>
      <c r="B119" s="43" t="inlineStr">
        <is>
          <t>v2q-017</t>
        </is>
      </c>
      <c r="C119" s="43" t="inlineStr">
        <is>
          <t>Which training route serves people no longer in education or work who need an initial occupational skill?</t>
        </is>
      </c>
      <c r="D119" s="43" t="inlineStr">
        <is>
          <t>PMKVY 4.0 Short-Term Training provides fresh skilling, reskilling, or upskilling for groups including school or college dropouts and unemployed youth.</t>
        </is>
      </c>
      <c r="E119" s="43" t="inlineStr">
        <is>
          <t>pilot-v2-doc-pmkvy-stt-0002-9b8eeae9f924</t>
        </is>
      </c>
      <c r="F119" s="43" t="inlineStr">
        <is>
          <t>Pradhan Mantri Kaushal Vikas Yojana 4.0 - Short-Term Training</t>
        </is>
      </c>
      <c r="G119" s="43" t="inlineStr">
        <is>
          <t>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 Grade A (85% and above), Grade B (70% to less than 85%). More than 70% biometric (AEBAS) attendance is required for each candidate to appear in the assessment. The indicative average per-candidate cost is ₹9,540 for a 300-hour STT course (including Skill Hubs) and ₹13,724 for a 450-hour STT course, derived considering a base training cost of ₹27.89 per hour.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The applicant should be an Indian national. The applicant should possess a valid Aadhaar. The applicant should be in the age group of 15 to 45 years. The applicant should fulfil the eligibility criteria of the respective job role, as defined in the course curriculum of the job 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t>
        </is>
      </c>
      <c r="H119" s="49" t="inlineStr">
        <is>
          <t>2</t>
        </is>
      </c>
      <c r="I119" s="49" t="str"/>
      <c r="J119" s="55">
        <f>INT((ROW()-2)/50)+1</f>
        <v/>
      </c>
      <c r="K119" s="55">
        <f>IF(H119="","Pending",IF(OR(H119="0",H119="1",H119="2",H119="U"),"Complete","Invalid"))</f>
        <v/>
      </c>
    </row>
    <row r="120" ht="84" customHeight="1">
      <c r="A120" s="43" t="inlineStr">
        <is>
          <t>v2q-024-candidate-16</t>
        </is>
      </c>
      <c r="B120" s="43" t="inlineStr">
        <is>
          <t>v2q-024</t>
        </is>
      </c>
      <c r="C120" s="43" t="inlineStr">
        <is>
          <t>Which national health-assurance programme does NHA implement under the health ministry?</t>
        </is>
      </c>
      <c r="D120" s="43" t="inlineStr">
        <is>
          <t>The National Health Authority implements AB-PMJAY under the Ministry of Health and Family Welfare.</t>
        </is>
      </c>
      <c r="E120" s="43" t="inlineStr">
        <is>
          <t>pilot-v2-doc-pmkvy-stt-0000-546ef459ea0e</t>
        </is>
      </c>
      <c r="F120" s="43" t="inlineStr">
        <is>
          <t>Pradhan Mantri Kaushal Vikas Yojana 4.0 - Short-Term Training</t>
        </is>
      </c>
      <c r="G120" s="43" t="inlineStr">
        <is>
          <t>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is>
      </c>
      <c r="H120" s="49" t="inlineStr">
        <is>
          <t>0</t>
        </is>
      </c>
      <c r="I120" s="49" t="str"/>
      <c r="J120" s="55">
        <f>INT((ROW()-2)/50)+1</f>
        <v/>
      </c>
      <c r="K120" s="55">
        <f>IF(H120="","Pending",IF(OR(H120="0",H120="1",H120="2",H120="U"),"Complete","Invalid"))</f>
        <v/>
      </c>
    </row>
    <row r="121" ht="84" customHeight="1">
      <c r="A121" s="43" t="inlineStr">
        <is>
          <t>v2q-005-candidate-21</t>
        </is>
      </c>
      <c r="B121" s="43" t="inlineStr">
        <is>
          <t>v2q-005</t>
        </is>
      </c>
      <c r="C121" s="43" t="inlineStr">
        <is>
          <t>How many days of wage employment does MGNREGA guarantee a rural household in a financial year?</t>
        </is>
      </c>
      <c r="D121" s="43" t="inlineStr">
        <is>
          <t>MGNREGA guarantees at least 100 days of wage employment per financial year to a rural household whose adult members volunteer for unskilled work.</t>
        </is>
      </c>
      <c r="E121" s="43" t="inlineStr">
        <is>
          <t>pilot-v2-doc-pmuy-0001-5fd4d0cd2135</t>
        </is>
      </c>
      <c r="F121" s="43" t="inlineStr">
        <is>
          <t>Pradhan Mantri Ujjwala Yojana</t>
        </is>
      </c>
      <c r="G121"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121" s="49" t="inlineStr">
        <is>
          <t>0</t>
        </is>
      </c>
      <c r="I121" s="49" t="str"/>
      <c r="J121" s="55">
        <f>INT((ROW()-2)/50)+1</f>
        <v/>
      </c>
      <c r="K121" s="55">
        <f>IF(H121="","Pending",IF(OR(H121="0",H121="1",H121="2",H121="U"),"Complete","Invalid"))</f>
        <v/>
      </c>
    </row>
    <row r="122" ht="84" customHeight="1">
      <c r="A122" s="43" t="inlineStr">
        <is>
          <t>v2q-019-candidate-17</t>
        </is>
      </c>
      <c r="B122" s="43" t="inlineStr">
        <is>
          <t>v2q-019</t>
        </is>
      </c>
      <c r="C122" s="43" t="inlineStr">
        <is>
          <t>What role does the Ministry of Petroleum and Natural Gas have in Ujjwala 2.0?</t>
        </is>
      </c>
      <c r="D122" s="43" t="inlineStr">
        <is>
          <t>The ministry introduced Ujjwala 2.0 to provide LPG connections and promote clean cooking fuel among poor, rural, and deprived households.</t>
        </is>
      </c>
      <c r="E122" s="43" t="inlineStr">
        <is>
          <t>pilot-v2-doc-pm-gkay-0002-9e804cd883e8</t>
        </is>
      </c>
      <c r="F122" s="43" t="inlineStr">
        <is>
          <t>Pradhan Mantri Garib Kalyan Anna Yojana</t>
        </is>
      </c>
      <c r="G122" s="43" t="inlineStr">
        <is>
          <t>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H122" s="49" t="inlineStr">
        <is>
          <t>0</t>
        </is>
      </c>
      <c r="I122" s="49" t="str"/>
      <c r="J122" s="55">
        <f>INT((ROW()-2)/50)+1</f>
        <v/>
      </c>
      <c r="K122" s="55">
        <f>IF(H122="","Pending",IF(OR(H122="0",H122="1",H122="2",H122="U"),"Complete","Invalid"))</f>
        <v/>
      </c>
    </row>
    <row r="123" ht="84" customHeight="1">
      <c r="A123" s="43" t="inlineStr">
        <is>
          <t>v2q-007-candidate-26</t>
        </is>
      </c>
      <c r="B123" s="43" t="inlineStr">
        <is>
          <t>v2q-007</t>
        </is>
      </c>
      <c r="C123" s="43" t="inlineStr">
        <is>
          <t>What is the full form of PMJJBY, and which event does its life insurance cover?</t>
        </is>
      </c>
      <c r="D123" s="43" t="inlineStr">
        <is>
          <t>PMJJBY stands for Pradhan Mantri Jeevan Jyoti Bima Yojana and provides life-insurance cover for death due to any reason.</t>
        </is>
      </c>
      <c r="E123" s="43" t="inlineStr">
        <is>
          <t>pilot-v2-doc-mgnrega-0001-5203a455caa6</t>
        </is>
      </c>
      <c r="F123" s="43" t="inlineStr">
        <is>
          <t>Mahatma Gandhi National Rural Employment Guarantee Act</t>
        </is>
      </c>
      <c r="G123"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123" s="49" t="inlineStr">
        <is>
          <t>0</t>
        </is>
      </c>
      <c r="I123" s="49" t="str"/>
      <c r="J123" s="55">
        <f>INT((ROW()-2)/50)+1</f>
        <v/>
      </c>
      <c r="K123" s="55">
        <f>IF(H123="","Pending",IF(OR(H123="0",H123="1",H123="2",H123="U"),"Complete","Invalid"))</f>
        <v/>
      </c>
    </row>
    <row r="124" ht="84" customHeight="1">
      <c r="A124" s="43" t="inlineStr">
        <is>
          <t>v2q-032-candidate-09</t>
        </is>
      </c>
      <c r="B124" s="43" t="inlineStr">
        <is>
          <t>v2q-032</t>
        </is>
      </c>
      <c r="C124" s="43" t="inlineStr">
        <is>
          <t>How do three farmer programmes separately address crop loss, current income needs, and old-age income security?</t>
        </is>
      </c>
      <c r="D124" s="43" t="inlineStr">
        <is>
          <t>PMFBY insures crops against specified losses; PM-KISAN transfers ₹6,000 annually to eligible farmer families; PM-KMY provides eligible small and marginal farmers an assured ₹3,000 monthly pension from age 60.</t>
        </is>
      </c>
      <c r="E124" s="43" t="inlineStr">
        <is>
          <t>pilot-v2-doc-pmfby-0001-4270154049cc</t>
        </is>
      </c>
      <c r="F124" s="43" t="inlineStr">
        <is>
          <t>Pradhan Mantri Fasal Bima Yojna (PMFBY)</t>
        </is>
      </c>
      <c r="G124"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124" s="49" t="inlineStr">
        <is>
          <t>2</t>
        </is>
      </c>
      <c r="I124" s="49" t="str"/>
      <c r="J124" s="55">
        <f>INT((ROW()-2)/50)+1</f>
        <v/>
      </c>
      <c r="K124" s="55">
        <f>IF(H124="","Pending",IF(OR(H124="0",H124="1",H124="2",H124="U"),"Complete","Invalid"))</f>
        <v/>
      </c>
    </row>
    <row r="125" ht="84" customHeight="1">
      <c r="A125" s="43" t="inlineStr">
        <is>
          <t>v2q-005-candidate-15</t>
        </is>
      </c>
      <c r="B125" s="43" t="inlineStr">
        <is>
          <t>v2q-005</t>
        </is>
      </c>
      <c r="C125" s="43" t="inlineStr">
        <is>
          <t>How many days of wage employment does MGNREGA guarantee a rural household in a financial year?</t>
        </is>
      </c>
      <c r="D125" s="43" t="inlineStr">
        <is>
          <t>MGNREGA guarantees at least 100 days of wage employment per financial year to a rural household whose adult members volunteer for unskilled work.</t>
        </is>
      </c>
      <c r="E125" s="43" t="inlineStr">
        <is>
          <t>pilot-v2-doc-pm-kmy-guidelines-0001-5d83566dbb68</t>
        </is>
      </c>
      <c r="F125" s="43" t="inlineStr">
        <is>
          <t>Pradhan Mantri Kisan Maan Dhan Yojana Operational Guidelines</t>
        </is>
      </c>
      <c r="G125"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125" s="49" t="inlineStr">
        <is>
          <t>0</t>
        </is>
      </c>
      <c r="I125" s="49" t="str"/>
      <c r="J125" s="55">
        <f>INT((ROW()-2)/50)+1</f>
        <v/>
      </c>
      <c r="K125" s="55">
        <f>IF(H125="","Pending",IF(OR(H125="0",H125="1",H125="2",H125="U"),"Complete","Invalid"))</f>
        <v/>
      </c>
    </row>
    <row r="126" ht="84" customHeight="1">
      <c r="A126" s="43" t="inlineStr">
        <is>
          <t>v2q-014-candidate-08</t>
        </is>
      </c>
      <c r="B126" s="43" t="inlineStr">
        <is>
          <t>v2q-014</t>
        </is>
      </c>
      <c r="C126" s="43" t="inlineStr">
        <is>
          <t>Under the national ration programme, what monthly cereal allocation goes to families in the poorest entitlement tier and to each person in the priority tier?</t>
        </is>
      </c>
      <c r="D126" s="43" t="inlineStr">
        <is>
          <t>AAY families receive 35 kilograms per family per month, while PHH beneficiaries receive 5 kilograms per person per month.</t>
        </is>
      </c>
      <c r="E126" s="43" t="inlineStr">
        <is>
          <t>pilot-v2-doc-pm-kisan-guidelines-0000-bbe94f08550e</t>
        </is>
      </c>
      <c r="F126" s="43" t="inlineStr">
        <is>
          <t>PM-KISAN Operational Guidelines</t>
        </is>
      </c>
      <c r="G126"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126" s="49" t="inlineStr">
        <is>
          <t>0</t>
        </is>
      </c>
      <c r="I126" s="49" t="str"/>
      <c r="J126" s="55">
        <f>INT((ROW()-2)/50)+1</f>
        <v/>
      </c>
      <c r="K126" s="55">
        <f>IF(H126="","Pending",IF(OR(H126="0",H126="1",H126="2",H126="U"),"Complete","Invalid"))</f>
        <v/>
      </c>
    </row>
    <row r="127" ht="84" customHeight="1">
      <c r="A127" s="43" t="inlineStr">
        <is>
          <t>v2q-030-candidate-09</t>
        </is>
      </c>
      <c r="B127" s="43" t="inlineStr">
        <is>
          <t>v2q-030</t>
        </is>
      </c>
      <c r="C127" s="43" t="inlineStr">
        <is>
          <t>What retirement benefit does APY offer, and which life-insurance programme administered through the same department covers death from any cause?</t>
        </is>
      </c>
      <c r="D127" s="43" t="inlineStr">
        <is>
          <t>APY offers guaranteed monthly pension options after age 60. PMJJBY, associated with the same Department of Financial Services, provides life cover for death due to any reason.</t>
        </is>
      </c>
      <c r="E127" s="43" t="inlineStr">
        <is>
          <t>pilot-v2-doc-pm-kmy-guidelines-0017-43ef720eda68</t>
        </is>
      </c>
      <c r="F127" s="43" t="inlineStr">
        <is>
          <t>Pradhan Mantri Kisan Maan Dhan Yojana Operational Guidelines</t>
        </is>
      </c>
      <c r="G127" s="43" t="inlineStr">
        <is>
          <t>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 strictly personal and cannot be assigned,
charged or alienated in any way.
If any restraint or prohibitory order  is served on the Government in respect of any
benefit payable to a subscriber or his  / her beneficiary or  if the subscriber or the
beneficiary shall become bankrupt or attempt to assign, charge or in any way encumber
the pension or any benefit there under, he / she shall forfeit all rights and claim thereto
and the same shall lapse to the Government but without prejudice to the powers of the
Government at their discretion to maintain or continue the same, it they think fit, either
immediately or after an interval or otherwise to make payments for the support of the
subscriber. The value of any or all benefits forfeited shall be transferred to the ‘Surplus
Account’.
14.  TO PREVAIL:
Should anything contained  in these guidelines or  in any alternation or amendment
thereof be inconsistent with the object or provisions of the Scheme, the provisions of the
Scheme as approved shall prevail. On any such discrepancy coming to the notice of 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t>
        </is>
      </c>
      <c r="H127" s="49" t="inlineStr">
        <is>
          <t>0</t>
        </is>
      </c>
      <c r="I127" s="49" t="str"/>
      <c r="J127" s="55">
        <f>INT((ROW()-2)/50)+1</f>
        <v/>
      </c>
      <c r="K127" s="55">
        <f>IF(H127="","Pending",IF(OR(H127="0",H127="1",H127="2",H127="U"),"Complete","Invalid"))</f>
        <v/>
      </c>
    </row>
    <row r="128" ht="84" customHeight="1">
      <c r="A128" s="43" t="inlineStr">
        <is>
          <t>v2q-006-candidate-17</t>
        </is>
      </c>
      <c r="B128" s="43" t="inlineStr">
        <is>
          <t>v2q-006</t>
        </is>
      </c>
      <c r="C128" s="43" t="inlineStr">
        <is>
          <t>What annual hospitalisation cover does AB-PMJAY provide per eligible family?</t>
        </is>
      </c>
      <c r="D128" s="43" t="inlineStr">
        <is>
          <t>AB-PMJAY provides cashless hospitalisation cover of ₹5 lakh per family per year for secondary and tertiary healthcare.</t>
        </is>
      </c>
      <c r="E128" s="43" t="inlineStr">
        <is>
          <t>pilot-v2-doc-mgnrega-0002-bbbce5f319d4</t>
        </is>
      </c>
      <c r="F128" s="43" t="inlineStr">
        <is>
          <t>Mahatma Gandhi National Rural Employment Guarantee Act</t>
        </is>
      </c>
      <c r="G128"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128" s="49" t="inlineStr">
        <is>
          <t>0</t>
        </is>
      </c>
      <c r="I128" s="49" t="str"/>
      <c r="J128" s="55">
        <f>INT((ROW()-2)/50)+1</f>
        <v/>
      </c>
      <c r="K128" s="55">
        <f>IF(H128="","Pending",IF(OR(H128="0",H128="1",H128="2",H128="U"),"Complete","Invalid"))</f>
        <v/>
      </c>
    </row>
    <row r="129" ht="84" customHeight="1">
      <c r="A129" s="43" t="inlineStr">
        <is>
          <t>v2q-028-candidate-06</t>
        </is>
      </c>
      <c r="B129" s="43" t="inlineStr">
        <is>
          <t>v2q-028</t>
        </is>
      </c>
      <c r="C129" s="43" t="inlineStr">
        <is>
          <t>What does PMKVY Recognition of Prior Learning certify, and which other pathway from its ministry serves candidates seeking fresh short-term skills training?</t>
        </is>
      </c>
      <c r="D129" s="43" t="inlineStr">
        <is>
          <t>PMKVY Recognition of Prior Learning certifies candidates’ existing skills. PMKVY Short-Term Training, under the same Ministry of Skill Development and Entrepreneurship, provides fresh skilling, reskilling, or upskilling.</t>
        </is>
      </c>
      <c r="E129" s="43" t="inlineStr">
        <is>
          <t>pilot-v2-doc-pmkvy-rpl-0003-9425f5b8529a</t>
        </is>
      </c>
      <c r="F129" s="43" t="inlineStr">
        <is>
          <t>Pradhan Mantri Kaushal Vikas Yojana 4.0 - Recognition Of Prior Learning</t>
        </is>
      </c>
      <c r="G129" s="43" t="inlineStr">
        <is>
          <t>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is>
      </c>
      <c r="H129" s="49" t="inlineStr">
        <is>
          <t>2</t>
        </is>
      </c>
      <c r="I129" s="49" t="str"/>
      <c r="J129" s="55">
        <f>INT((ROW()-2)/50)+1</f>
        <v/>
      </c>
      <c r="K129" s="55">
        <f>IF(H129="","Pending",IF(OR(H129="0",H129="1",H129="2",H129="U"),"Complete","Invalid"))</f>
        <v/>
      </c>
    </row>
    <row r="130" ht="84" customHeight="1">
      <c r="A130" s="43" t="inlineStr">
        <is>
          <t>v2q-030-candidate-20</t>
        </is>
      </c>
      <c r="B130" s="43" t="inlineStr">
        <is>
          <t>v2q-030</t>
        </is>
      </c>
      <c r="C130" s="43" t="inlineStr">
        <is>
          <t>What retirement benefit does APY offer, and which life-insurance programme administered through the same department covers death from any cause?</t>
        </is>
      </c>
      <c r="D130" s="43" t="inlineStr">
        <is>
          <t>APY offers guaranteed monthly pension options after age 60. PMJJBY, associated with the same Department of Financial Services, provides life cover for death due to any reason.</t>
        </is>
      </c>
      <c r="E130" s="43" t="inlineStr">
        <is>
          <t>pilot-v2-doc-pmmy-0000-70a89ee32765</t>
        </is>
      </c>
      <c r="F130" s="43" t="inlineStr">
        <is>
          <t>Pradhan Mantri Mudra Yojana</t>
        </is>
      </c>
      <c r="G130"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130" s="49" t="inlineStr">
        <is>
          <t>0</t>
        </is>
      </c>
      <c r="I130" s="49" t="str"/>
      <c r="J130" s="55">
        <f>INT((ROW()-2)/50)+1</f>
        <v/>
      </c>
      <c r="K130" s="55">
        <f>IF(H130="","Pending",IF(OR(H130="0",H130="1",H130="2",H130="U"),"Complete","Invalid"))</f>
        <v/>
      </c>
    </row>
    <row r="131" ht="84" customHeight="1">
      <c r="A131" s="43" t="inlineStr">
        <is>
          <t>v2q-006-candidate-24</t>
        </is>
      </c>
      <c r="B131" s="43" t="inlineStr">
        <is>
          <t>v2q-006</t>
        </is>
      </c>
      <c r="C131" s="43" t="inlineStr">
        <is>
          <t>What annual hospitalisation cover does AB-PMJAY provide per eligible family?</t>
        </is>
      </c>
      <c r="D131" s="43" t="inlineStr">
        <is>
          <t>AB-PMJAY provides cashless hospitalisation cover of ₹5 lakh per family per year for secondary and tertiary healthcare.</t>
        </is>
      </c>
      <c r="E131" s="43" t="inlineStr">
        <is>
          <t>pilot-v2-doc-mgnrega-0000-7e6d80b47566</t>
        </is>
      </c>
      <c r="F131" s="43" t="inlineStr">
        <is>
          <t>Mahatma Gandhi National Rural Employment Guarantee Act</t>
        </is>
      </c>
      <c r="G131"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131" s="49" t="inlineStr">
        <is>
          <t>0</t>
        </is>
      </c>
      <c r="I131" s="49" t="str"/>
      <c r="J131" s="55">
        <f>INT((ROW()-2)/50)+1</f>
        <v/>
      </c>
      <c r="K131" s="55">
        <f>IF(H131="","Pending",IF(OR(H131="0",H131="1",H131="2",H131="U"),"Complete","Invalid"))</f>
        <v/>
      </c>
    </row>
    <row r="132" ht="84" customHeight="1">
      <c r="A132" s="43" t="inlineStr">
        <is>
          <t>v2q-007-candidate-03</t>
        </is>
      </c>
      <c r="B132" s="43" t="inlineStr">
        <is>
          <t>v2q-007</t>
        </is>
      </c>
      <c r="C132" s="43" t="inlineStr">
        <is>
          <t>What is the full form of PMJJBY, and which event does its life insurance cover?</t>
        </is>
      </c>
      <c r="D132" s="43" t="inlineStr">
        <is>
          <t>PMJJBY stands for Pradhan Mantri Jeevan Jyoti Bima Yojana and provides life-insurance cover for death due to any reason.</t>
        </is>
      </c>
      <c r="E132" s="43" t="inlineStr">
        <is>
          <t>pilot-v2-doc-pmsby-0000-0f297846df39</t>
        </is>
      </c>
      <c r="F132" s="43" t="inlineStr">
        <is>
          <t>Pradhan Mantri Suraksha Bima Yojana</t>
        </is>
      </c>
      <c r="G132"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132" s="49" t="inlineStr">
        <is>
          <t>1</t>
        </is>
      </c>
      <c r="I132" s="49" t="str"/>
      <c r="J132" s="55">
        <f>INT((ROW()-2)/50)+1</f>
        <v/>
      </c>
      <c r="K132" s="55">
        <f>IF(H132="","Pending",IF(OR(H132="0",H132="1",H132="2",H132="U"),"Complete","Invalid"))</f>
        <v/>
      </c>
    </row>
    <row r="133" ht="84" customHeight="1">
      <c r="A133" s="43" t="inlineStr">
        <is>
          <t>v2q-014-candidate-16</t>
        </is>
      </c>
      <c r="B133" s="43" t="inlineStr">
        <is>
          <t>v2q-014</t>
        </is>
      </c>
      <c r="C133" s="43" t="inlineStr">
        <is>
          <t>Under the national ration programme, what monthly cereal allocation goes to families in the poorest entitlement tier and to each person in the priority tier?</t>
        </is>
      </c>
      <c r="D133" s="43" t="inlineStr">
        <is>
          <t>AAY families receive 35 kilograms per family per month, while PHH beneficiaries receive 5 kilograms per person per month.</t>
        </is>
      </c>
      <c r="E133" s="43" t="inlineStr">
        <is>
          <t>pilot-v2-doc-pm-kmy-guidelines-0000-0582a8323d67</t>
        </is>
      </c>
      <c r="F133" s="43" t="inlineStr">
        <is>
          <t>Pradhan Mantri Kisan Maan Dhan Yojana Operational Guidelines</t>
        </is>
      </c>
      <c r="G133"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133" s="49" t="inlineStr">
        <is>
          <t>0</t>
        </is>
      </c>
      <c r="I133" s="49" t="str"/>
      <c r="J133" s="55">
        <f>INT((ROW()-2)/50)+1</f>
        <v/>
      </c>
      <c r="K133" s="55">
        <f>IF(H133="","Pending",IF(OR(H133="0",H133="1",H133="2",H133="U"),"Complete","Invalid"))</f>
        <v/>
      </c>
    </row>
    <row r="134" ht="84" customHeight="1">
      <c r="A134" s="43" t="inlineStr">
        <is>
          <t>v2q-001-candidate-09</t>
        </is>
      </c>
      <c r="B134" s="43" t="inlineStr">
        <is>
          <t>v2q-001</t>
        </is>
      </c>
      <c r="C134" s="43" t="inlineStr">
        <is>
          <t>What is the minimum house size specified under PMAY-G?</t>
        </is>
      </c>
      <c r="D134" s="43" t="inlineStr">
        <is>
          <t>The minimum house size is 25 square metres, including a dedicated hygienic cooking area.</t>
        </is>
      </c>
      <c r="E134" s="43" t="inlineStr">
        <is>
          <t>pilot-v2-doc-pmay-g-0005-c6e2fcfefcd0</t>
        </is>
      </c>
      <c r="F134" s="43" t="inlineStr">
        <is>
          <t>Pradhan Mantri Awaas Yojana - Gramin</t>
        </is>
      </c>
      <c r="G134" s="43" t="inlineStr">
        <is>
          <t>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is>
      </c>
      <c r="H134" s="49" t="inlineStr">
        <is>
          <t>1</t>
        </is>
      </c>
      <c r="I134" s="49" t="str"/>
      <c r="J134" s="55">
        <f>INT((ROW()-2)/50)+1</f>
        <v/>
      </c>
      <c r="K134" s="55">
        <f>IF(H134="","Pending",IF(OR(H134="0",H134="1",H134="2",H134="U"),"Complete","Invalid"))</f>
        <v/>
      </c>
    </row>
    <row r="135" ht="84" customHeight="1">
      <c r="A135" s="43" t="inlineStr">
        <is>
          <t>v2q-004-candidate-06</t>
        </is>
      </c>
      <c r="B135" s="43" t="inlineStr">
        <is>
          <t>v2q-004</t>
        </is>
      </c>
      <c r="C135" s="43" t="inlineStr">
        <is>
          <t>What is the maximum micro-loan amount stated for PMMY?</t>
        </is>
      </c>
      <c r="D135" s="43" t="inlineStr">
        <is>
          <t>PMMY facilitates micro-credit loans up to ₹20 lakh for eligible income-generating micro-enterprises.</t>
        </is>
      </c>
      <c r="E135" s="43" t="inlineStr">
        <is>
          <t>pilot-v2-doc-mgnrega-0002-bbbce5f319d4</t>
        </is>
      </c>
      <c r="F135" s="43" t="inlineStr">
        <is>
          <t>Mahatma Gandhi National Rural Employment Guarantee Act</t>
        </is>
      </c>
      <c r="G135"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135" s="49" t="inlineStr">
        <is>
          <t>0</t>
        </is>
      </c>
      <c r="I135" s="49" t="str"/>
      <c r="J135" s="55">
        <f>INT((ROW()-2)/50)+1</f>
        <v/>
      </c>
      <c r="K135" s="55">
        <f>IF(H135="","Pending",IF(OR(H135="0",H135="1",H135="2",H135="U"),"Complete","Invalid"))</f>
        <v/>
      </c>
    </row>
    <row r="136" ht="84" customHeight="1">
      <c r="A136" s="43" t="inlineStr">
        <is>
          <t>v2q-019-candidate-12</t>
        </is>
      </c>
      <c r="B136" s="43" t="inlineStr">
        <is>
          <t>v2q-019</t>
        </is>
      </c>
      <c r="C136" s="43" t="inlineStr">
        <is>
          <t>What role does the Ministry of Petroleum and Natural Gas have in Ujjwala 2.0?</t>
        </is>
      </c>
      <c r="D136" s="43" t="inlineStr">
        <is>
          <t>The ministry introduced Ujjwala 2.0 to provide LPG connections and promote clean cooking fuel among poor, rural, and deprived households.</t>
        </is>
      </c>
      <c r="E136" s="43" t="inlineStr">
        <is>
          <t>pilot-v2-doc-pm-svanidhi-0000-f6024bb09ca5</t>
        </is>
      </c>
      <c r="F136" s="43" t="inlineStr">
        <is>
          <t>PM Street Vendor’s AtmaNirbhar Nidhi (PM SVANidhi)</t>
        </is>
      </c>
      <c r="G136"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136" s="49" t="inlineStr">
        <is>
          <t>0</t>
        </is>
      </c>
      <c r="I136" s="49" t="str"/>
      <c r="J136" s="55">
        <f>INT((ROW()-2)/50)+1</f>
        <v/>
      </c>
      <c r="K136" s="55">
        <f>IF(H136="","Pending",IF(OR(H136="0",H136="1",H136="2",H136="U"),"Complete","Invalid"))</f>
        <v/>
      </c>
    </row>
    <row r="137" ht="84" customHeight="1">
      <c r="A137" s="43" t="inlineStr">
        <is>
          <t>v2q-009-candidate-15</t>
        </is>
      </c>
      <c r="B137" s="43" t="inlineStr">
        <is>
          <t>v2q-009</t>
        </is>
      </c>
      <c r="C137" s="43" t="inlineStr">
        <is>
          <t>What does APY stand for, and what monthly pension range does it guarantee after age 60?</t>
        </is>
      </c>
      <c r="D137" s="43" t="inlineStr">
        <is>
          <t>APY stands for Atal Pension Yojana and offers guaranteed monthly pension options from ₹1,000 to ₹5,000 after age 60.</t>
        </is>
      </c>
      <c r="E137" s="43" t="inlineStr">
        <is>
          <t>pilot-v2-doc-pm-kmy-guidelines-0020-27037b9fe8a1</t>
        </is>
      </c>
      <c r="F137" s="43" t="inlineStr">
        <is>
          <t>Pradhan Mantri Kisan Maan Dhan Yojana Operational Guidelines</t>
        </is>
      </c>
      <c r="G137"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137" s="49" t="inlineStr">
        <is>
          <t>0</t>
        </is>
      </c>
      <c r="I137" s="49" t="str"/>
      <c r="J137" s="55">
        <f>INT((ROW()-2)/50)+1</f>
        <v/>
      </c>
      <c r="K137" s="55">
        <f>IF(H137="","Pending",IF(OR(H137="0",H137="1",H137="2",H137="U"),"Complete","Invalid"))</f>
        <v/>
      </c>
    </row>
    <row r="138" ht="84" customHeight="1">
      <c r="A138" s="43" t="inlineStr">
        <is>
          <t>v2q-022-candidate-10</t>
        </is>
      </c>
      <c r="B138" s="43" t="inlineStr">
        <is>
          <t>v2q-022</t>
        </is>
      </c>
      <c r="C138" s="43" t="inlineStr">
        <is>
          <t>Which finance programme relies on Member Lending Institutions to extend assistance to non-corporate micro-enterprises?</t>
        </is>
      </c>
      <c r="D138" s="43" t="inlineStr">
        <is>
          <t>Eligible Member Lending Institutions extend PMMY financial assistance and provide the scheme’s micro-loans to qualifying micro and small enterprises.</t>
        </is>
      </c>
      <c r="E138" s="43" t="inlineStr">
        <is>
          <t>pilot-v2-doc-pmegp-0000-7b958e1ec4b0</t>
        </is>
      </c>
      <c r="F138" s="43" t="inlineStr">
        <is>
          <t>Prime Minister's Employment Generation Programme</t>
        </is>
      </c>
      <c r="G138"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138" s="49" t="inlineStr">
        <is>
          <t>0</t>
        </is>
      </c>
      <c r="I138" s="49" t="str"/>
      <c r="J138" s="55">
        <f>INT((ROW()-2)/50)+1</f>
        <v/>
      </c>
      <c r="K138" s="55">
        <f>IF(H138="","Pending",IF(OR(H138="0",H138="1",H138="2",H138="U"),"Complete","Invalid"))</f>
        <v/>
      </c>
    </row>
    <row r="139" ht="84" customHeight="1">
      <c r="A139" s="43" t="inlineStr">
        <is>
          <t>v2q-018-candidate-16</t>
        </is>
      </c>
      <c r="B139" s="43" t="inlineStr">
        <is>
          <t>v2q-018</t>
        </is>
      </c>
      <c r="C139" s="43" t="inlineStr">
        <is>
          <t>Which initiative helps city households across officially defined lower and middle income bands obtain permanent homes?</t>
        </is>
      </c>
      <c r="D139" s="43" t="inlineStr">
        <is>
          <t>Pradhan Mantri Awas Yojana–Urban addresses urban housing shortages and supports eligible EWS, LIG, and MIG households, including slum dwellers.</t>
        </is>
      </c>
      <c r="E139" s="43" t="inlineStr">
        <is>
          <t>pilot-v2-doc-mgnrega-0001-5203a455caa6</t>
        </is>
      </c>
      <c r="F139" s="43" t="inlineStr">
        <is>
          <t>Mahatma Gandhi National Rural Employment Guarantee Act</t>
        </is>
      </c>
      <c r="G139"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139" s="49" t="inlineStr">
        <is>
          <t>0</t>
        </is>
      </c>
      <c r="I139" s="49" t="str"/>
      <c r="J139" s="55">
        <f>INT((ROW()-2)/50)+1</f>
        <v/>
      </c>
      <c r="K139" s="55">
        <f>IF(H139="","Pending",IF(OR(H139="0",H139="1",H139="2",H139="U"),"Complete","Invalid"))</f>
        <v/>
      </c>
    </row>
    <row r="140" ht="84" customHeight="1">
      <c r="A140" s="43" t="inlineStr">
        <is>
          <t>v2q-034-candidate-17</t>
        </is>
      </c>
      <c r="B140" s="43" t="inlineStr">
        <is>
          <t>v2q-034</t>
        </is>
      </c>
      <c r="C140" s="43" t="inlineStr">
        <is>
          <t>How do three programmes meet distinct household needs for rural housing, clean cooking, and food security?</t>
        </is>
      </c>
      <c r="D140" s="43" t="inlineStr">
        <is>
          <t>PMAY-G supports pucca rural housing with basic amenities; PMUY provides LPG access to deprived households replacing traditional cooking fuels; PMGKAY provides free foodgrains to eligible AAY and PHH ration-card holders.</t>
        </is>
      </c>
      <c r="E140" s="43" t="inlineStr">
        <is>
          <t>pilot-v2-doc-pmay-g-0000-d4162175877d</t>
        </is>
      </c>
      <c r="F140" s="43" t="inlineStr">
        <is>
          <t>Pradhan Mantri Awaas Yojana - Gramin</t>
        </is>
      </c>
      <c r="G140"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140" s="49" t="inlineStr">
        <is>
          <t>2</t>
        </is>
      </c>
      <c r="I140" s="49" t="str"/>
      <c r="J140" s="55">
        <f>INT((ROW()-2)/50)+1</f>
        <v/>
      </c>
      <c r="K140" s="55">
        <f>IF(H140="","Pending",IF(OR(H140="0",H140="1",H140="2",H140="U"),"Complete","Invalid"))</f>
        <v/>
      </c>
    </row>
    <row r="141" ht="84" customHeight="1">
      <c r="A141" s="43" t="inlineStr">
        <is>
          <t>v2q-007-candidate-23</t>
        </is>
      </c>
      <c r="B141" s="43" t="inlineStr">
        <is>
          <t>v2q-007</t>
        </is>
      </c>
      <c r="C141" s="43" t="inlineStr">
        <is>
          <t>What is the full form of PMJJBY, and which event does its life insurance cover?</t>
        </is>
      </c>
      <c r="D141" s="43" t="inlineStr">
        <is>
          <t>PMJJBY stands for Pradhan Mantri Jeevan Jyoti Bima Yojana and provides life-insurance cover for death due to any reason.</t>
        </is>
      </c>
      <c r="E141" s="43" t="inlineStr">
        <is>
          <t>pilot-v2-doc-apy-0003-68e7199c9d14</t>
        </is>
      </c>
      <c r="F141" s="43" t="inlineStr">
        <is>
          <t>Atal Pension Yojana</t>
        </is>
      </c>
      <c r="G141"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141" s="49" t="inlineStr">
        <is>
          <t>0</t>
        </is>
      </c>
      <c r="I141" s="49" t="str"/>
      <c r="J141" s="55">
        <f>INT((ROW()-2)/50)+1</f>
        <v/>
      </c>
      <c r="K141" s="55">
        <f>IF(H141="","Pending",IF(OR(H141="0",H141="1",H141="2",H141="U"),"Complete","Invalid"))</f>
        <v/>
      </c>
    </row>
    <row r="142" ht="84" customHeight="1">
      <c r="A142" s="43" t="inlineStr">
        <is>
          <t>v2q-019-candidate-07</t>
        </is>
      </c>
      <c r="B142" s="43" t="inlineStr">
        <is>
          <t>v2q-019</t>
        </is>
      </c>
      <c r="C142" s="43" t="inlineStr">
        <is>
          <t>What role does the Ministry of Petroleum and Natural Gas have in Ujjwala 2.0?</t>
        </is>
      </c>
      <c r="D142" s="43" t="inlineStr">
        <is>
          <t>The ministry introduced Ujjwala 2.0 to provide LPG connections and promote clean cooking fuel among poor, rural, and deprived households.</t>
        </is>
      </c>
      <c r="E142" s="43" t="inlineStr">
        <is>
          <t>pilot-v2-doc-pmuy2-0002-61d762b2cd43</t>
        </is>
      </c>
      <c r="F142" s="43" t="inlineStr">
        <is>
          <t>Pradhan Mantri Ujjwala Yojana 2.0</t>
        </is>
      </c>
      <c r="G142" s="43" t="inlineStr">
        <is>
          <t>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 the official website. Step 2: Select the option Apply for the New Ujjwala 2.0 Connection. Step 3: Scroll down to and click on Online Portal. and Select the LPG distribution company name example Indane / Bharatgas / HP Gas. Step 4: Click on Register Now on the selected LPG distribution company. Step 5: Select a type of Connection like Ujjwala 2.0 New Connection. Step 6: Choose the State, District, Pin Code, and Name of the Distributor. Then Enter your Mobile Number, Captcha, and OTP. Step 7: Select the type of KYC New KYC and Normal KYC. Step 8: Select Migrant Family status in YES or NO Step 9: For the family Identifier in NO fill in Annexure 1 Step 10: For family Identifier in Yes fill in Ration Card Step 11: Fill in all Family Details, Personal details, address details, bank details, Choose Cylinder Types, Select rural or urban and select the declaration and submit. Step 12: Generate the Reference number and Print your applied form attach all the documents you submitted online and visit the selected Gas agency.</t>
        </is>
      </c>
      <c r="H142" s="49" t="inlineStr">
        <is>
          <t>1</t>
        </is>
      </c>
      <c r="I142" s="49" t="str"/>
      <c r="J142" s="55">
        <f>INT((ROW()-2)/50)+1</f>
        <v/>
      </c>
      <c r="K142" s="55">
        <f>IF(H142="","Pending",IF(OR(H142="0",H142="1",H142="2",H142="U"),"Complete","Invalid"))</f>
        <v/>
      </c>
    </row>
    <row r="143" ht="84" customHeight="1">
      <c r="A143" s="43" t="inlineStr">
        <is>
          <t>v2q-001-candidate-02</t>
        </is>
      </c>
      <c r="B143" s="43" t="inlineStr">
        <is>
          <t>v2q-001</t>
        </is>
      </c>
      <c r="C143" s="43" t="inlineStr">
        <is>
          <t>What is the minimum house size specified under PMAY-G?</t>
        </is>
      </c>
      <c r="D143" s="43" t="inlineStr">
        <is>
          <t>The minimum house size is 25 square metres, including a dedicated hygienic cooking area.</t>
        </is>
      </c>
      <c r="E143" s="43" t="inlineStr">
        <is>
          <t>pilot-v2-doc-pmay-u-0001-b64fadc4bf6b</t>
        </is>
      </c>
      <c r="F143" s="43" t="inlineStr">
        <is>
          <t>Pradhan Mantri Awas Yojana - Urban</t>
        </is>
      </c>
      <c r="G143"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143" s="49" t="inlineStr">
        <is>
          <t>0</t>
        </is>
      </c>
      <c r="I143" s="49" t="str"/>
      <c r="J143" s="55">
        <f>INT((ROW()-2)/50)+1</f>
        <v/>
      </c>
      <c r="K143" s="55">
        <f>IF(H143="","Pending",IF(OR(H143="0",H143="1",H143="2",H143="U"),"Complete","Invalid"))</f>
        <v/>
      </c>
    </row>
    <row r="144" ht="84" customHeight="1">
      <c r="A144" s="43" t="inlineStr">
        <is>
          <t>v2q-021-candidate-19</t>
        </is>
      </c>
      <c r="B144" s="43" t="inlineStr">
        <is>
          <t>v2q-021</t>
        </is>
      </c>
      <c r="C144" s="43" t="inlineStr">
        <is>
          <t>How do insurance companies and banks participate in PMFBY?</t>
        </is>
      </c>
      <c r="D144" s="43" t="inlineStr">
        <is>
          <t>PMFBY is implemented through a network of insurance companies and banks to provide crop-insurance protection to farmers.</t>
        </is>
      </c>
      <c r="E144" s="43" t="inlineStr">
        <is>
          <t>pilot-v2-doc-pm-kmy-guidelines-0001-5d83566dbb68</t>
        </is>
      </c>
      <c r="F144" s="43" t="inlineStr">
        <is>
          <t>Pradhan Mantri Kisan Maan Dhan Yojana Operational Guidelines</t>
        </is>
      </c>
      <c r="G144"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144" s="49" t="inlineStr">
        <is>
          <t>0</t>
        </is>
      </c>
      <c r="I144" s="49" t="str"/>
      <c r="J144" s="55">
        <f>INT((ROW()-2)/50)+1</f>
        <v/>
      </c>
      <c r="K144" s="55">
        <f>IF(H144="","Pending",IF(OR(H144="0",H144="1",H144="2",H144="U"),"Complete","Invalid"))</f>
        <v/>
      </c>
    </row>
    <row r="145" ht="84" customHeight="1">
      <c r="A145" s="43" t="inlineStr">
        <is>
          <t>v2q-027-candidate-18</t>
        </is>
      </c>
      <c r="B145" s="43" t="inlineStr">
        <is>
          <t>v2q-027</t>
        </is>
      </c>
      <c r="C145" s="43" t="inlineStr">
        <is>
          <t>What livelihood mechanism does PM SVANidhi offer street vendors, and which other programme from its ministry addresses housing shortages for eligible urban households?</t>
        </is>
      </c>
      <c r="D145" s="43" t="inlineStr">
        <is>
          <t>PM SVANidhi offers street vendors collateral-free working-capital loans, interest subsidy, and digital-payment incentives. PMAY-U, under the same Ministry of Housing and Urban Affairs, provides housing support for eligible urban households.</t>
        </is>
      </c>
      <c r="E145" s="43" t="inlineStr">
        <is>
          <t>pilot-v2-doc-pmay-u-0001-b64fadc4bf6b</t>
        </is>
      </c>
      <c r="F145" s="43" t="inlineStr">
        <is>
          <t>Pradhan Mantri Awas Yojana - Urban</t>
        </is>
      </c>
      <c r="G145"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145" s="49" t="inlineStr">
        <is>
          <t>2</t>
        </is>
      </c>
      <c r="I145" s="49" t="str"/>
      <c r="J145" s="55">
        <f>INT((ROW()-2)/50)+1</f>
        <v/>
      </c>
      <c r="K145" s="55">
        <f>IF(H145="","Pending",IF(OR(H145="0",H145="1",H145="2",H145="U"),"Complete","Invalid"))</f>
        <v/>
      </c>
    </row>
    <row r="146" ht="84" customHeight="1">
      <c r="A146" s="43" t="inlineStr">
        <is>
          <t>v2q-030-candidate-02</t>
        </is>
      </c>
      <c r="B146" s="43" t="inlineStr">
        <is>
          <t>v2q-030</t>
        </is>
      </c>
      <c r="C146" s="43" t="inlineStr">
        <is>
          <t>What retirement benefit does APY offer, and which life-insurance programme administered through the same department covers death from any cause?</t>
        </is>
      </c>
      <c r="D146" s="43" t="inlineStr">
        <is>
          <t>APY offers guaranteed monthly pension options after age 60. PMJJBY, associated with the same Department of Financial Services, provides life cover for death due to any reason.</t>
        </is>
      </c>
      <c r="E146" s="43" t="inlineStr">
        <is>
          <t>pilot-v2-doc-pmsby-0000-0f297846df39</t>
        </is>
      </c>
      <c r="F146" s="43" t="inlineStr">
        <is>
          <t>Pradhan Mantri Suraksha Bima Yojana</t>
        </is>
      </c>
      <c r="G146"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146" s="49" t="inlineStr">
        <is>
          <t>0</t>
        </is>
      </c>
      <c r="I146" s="49" t="str"/>
      <c r="J146" s="55">
        <f>INT((ROW()-2)/50)+1</f>
        <v/>
      </c>
      <c r="K146" s="55">
        <f>IF(H146="","Pending",IF(OR(H146="0",H146="1",H146="2",H146="U"),"Complete","Invalid"))</f>
        <v/>
      </c>
    </row>
    <row r="147" ht="84" customHeight="1">
      <c r="A147" s="43" t="inlineStr">
        <is>
          <t>v2q-010-candidate-13</t>
        </is>
      </c>
      <c r="B147" s="43" t="inlineStr">
        <is>
          <t>v2q-010</t>
        </is>
      </c>
      <c r="C147" s="43" t="inlineStr">
        <is>
          <t>What is the full form of PM POSHAN, and what meal benefit does it provide?</t>
        </is>
      </c>
      <c r="D147" s="43" t="inlineStr">
        <is>
          <t>PM POSHAN means Prime Minister's Overarching Scheme for Holistic Nourishment and provides one hot cooked meal to children in government and government-aided schools.</t>
        </is>
      </c>
      <c r="E147" s="43" t="inlineStr">
        <is>
          <t>pilot-v2-doc-pm-gkay-0000-c29b96f46a80</t>
        </is>
      </c>
      <c r="F147" s="43" t="inlineStr">
        <is>
          <t>Pradhan Mantri Garib Kalyan Anna Yojana</t>
        </is>
      </c>
      <c r="G147"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147" s="49" t="inlineStr">
        <is>
          <t>0</t>
        </is>
      </c>
      <c r="I147" s="49" t="str"/>
      <c r="J147" s="55">
        <f>INT((ROW()-2)/50)+1</f>
        <v/>
      </c>
      <c r="K147" s="55">
        <f>IF(H147="","Pending",IF(OR(H147="0",H147="1",H147="2",H147="U"),"Complete","Invalid"))</f>
        <v/>
      </c>
    </row>
    <row r="148" ht="84" customHeight="1">
      <c r="A148" s="43" t="inlineStr">
        <is>
          <t>v2q-013-candidate-18</t>
        </is>
      </c>
      <c r="B148" s="43" t="inlineStr">
        <is>
          <t>v2q-013</t>
        </is>
      </c>
      <c r="C148" s="43" t="inlineStr">
        <is>
          <t>Which initiative helps women in low-income countryside homes replace smoke-producing solid cooking materials with bottled gas?</t>
        </is>
      </c>
      <c r="D148" s="43" t="inlineStr">
        <is>
          <t>Pradhan Mantri Ujjwala Yojana provides LPG access to rural and deprived households that previously relied on traditional cooking fuels.</t>
        </is>
      </c>
      <c r="E148" s="43" t="inlineStr">
        <is>
          <t>pilot-v2-doc-apy-0001-add48d27a4a2</t>
        </is>
      </c>
      <c r="F148" s="43" t="inlineStr">
        <is>
          <t>Atal Pension Yojana</t>
        </is>
      </c>
      <c r="G148"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148" s="49" t="inlineStr">
        <is>
          <t>0</t>
        </is>
      </c>
      <c r="I148" s="49" t="str"/>
      <c r="J148" s="55">
        <f>INT((ROW()-2)/50)+1</f>
        <v/>
      </c>
      <c r="K148" s="55">
        <f>IF(H148="","Pending",IF(OR(H148="0",H148="1",H148="2",H148="U"),"Complete","Invalid"))</f>
        <v/>
      </c>
    </row>
    <row r="149" ht="84" customHeight="1">
      <c r="A149" s="43" t="inlineStr">
        <is>
          <t>v2q-010-candidate-14</t>
        </is>
      </c>
      <c r="B149" s="43" t="inlineStr">
        <is>
          <t>v2q-010</t>
        </is>
      </c>
      <c r="C149" s="43" t="inlineStr">
        <is>
          <t>What is the full form of PM POSHAN, and what meal benefit does it provide?</t>
        </is>
      </c>
      <c r="D149" s="43" t="inlineStr">
        <is>
          <t>PM POSHAN means Prime Minister's Overarching Scheme for Holistic Nourishment and provides one hot cooked meal to children in government and government-aided schools.</t>
        </is>
      </c>
      <c r="E149" s="43" t="inlineStr">
        <is>
          <t>pilot-v2-doc-ab-pmjay-0000-94c82a474579</t>
        </is>
      </c>
      <c r="F149" s="43" t="inlineStr">
        <is>
          <t>Ayushman Bharat - Pradhan Mantri Jan Arogya Yojana</t>
        </is>
      </c>
      <c r="G149"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149" s="49" t="inlineStr">
        <is>
          <t>0</t>
        </is>
      </c>
      <c r="I149" s="49" t="str"/>
      <c r="J149" s="55">
        <f>INT((ROW()-2)/50)+1</f>
        <v/>
      </c>
      <c r="K149" s="55">
        <f>IF(H149="","Pending",IF(OR(H149="0",H149="1",H149="2",H149="U"),"Complete","Invalid"))</f>
        <v/>
      </c>
    </row>
    <row r="150" ht="84" customHeight="1">
      <c r="A150" s="43" t="inlineStr">
        <is>
          <t>v2q-002-candidate-04</t>
        </is>
      </c>
      <c r="B150" s="43" t="inlineStr">
        <is>
          <t>v2q-002</t>
        </is>
      </c>
      <c r="C150" s="43" t="inlineStr">
        <is>
          <t>What maximum premium rates can farmers pay under PMFBY for Kharif, Rabi, and annual commercial or horticultural crops?</t>
        </is>
      </c>
      <c r="D150" s="43" t="inlineStr">
        <is>
          <t>Farmers pay at most 2% for Kharif food and oilseed crops, 1.5% for Rabi food and oilseed crops, and 5% for annual commercial or horticultural crops.</t>
        </is>
      </c>
      <c r="E150" s="43" t="inlineStr">
        <is>
          <t>pilot-v2-doc-pmegp-0002-f67d4c730011</t>
        </is>
      </c>
      <c r="F150" s="43" t="inlineStr">
        <is>
          <t>Prime Minister's Employment Generation Programme</t>
        </is>
      </c>
      <c r="G150" s="43" t="inlineStr">
        <is>
          <t>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The maximum cost of the project/unit admissible for Margin Money subsidy under the Manufacturing sector for upgradation is ₹10,00,00,000. The maximum subsidy would be ₹15,00,000 (₹20,00,000 for NER and Hill States). The maximum cost of the project/unit admissible for Margin Money subsidy under the Business/Service sector for upgradation is ₹25,00,000. The maximum subsidy would be ₹3,75,000 (₹5,00,000 for NER and Hill States). The balance amount (excluding the own contribution)of the total project cost will be provided by Banks. If the total project cost exceeds ₹10,00,00,000 or ₹25,00,000 for Manufacturing and Service/Business sector respectively, the balance amount may be provided by banks without any Government subsidy..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t>
        </is>
      </c>
      <c r="H150" s="49" t="inlineStr">
        <is>
          <t>0</t>
        </is>
      </c>
      <c r="I150" s="49" t="str"/>
      <c r="J150" s="55">
        <f>INT((ROW()-2)/50)+1</f>
        <v/>
      </c>
      <c r="K150" s="55">
        <f>IF(H150="","Pending",IF(OR(H150="0",H150="1",H150="2",H150="U"),"Complete","Invalid"))</f>
        <v/>
      </c>
    </row>
    <row r="151" ht="84" customHeight="1">
      <c r="A151" s="43" t="inlineStr">
        <is>
          <t>v2q-003-candidate-17</t>
        </is>
      </c>
      <c r="B151" s="43" t="inlineStr">
        <is>
          <t>v2q-003</t>
        </is>
      </c>
      <c r="C151" s="43" t="inlineStr">
        <is>
          <t>What revised overdraft limit and RuPay accidental-insurance cover are stated for PMJDY?</t>
        </is>
      </c>
      <c r="D151" s="43" t="inlineStr">
        <is>
          <t>PMJDY states a revised overdraft limit of ₹10,000 and accidental-insurance cover of ₹2 lakh for RuPay cardholders.</t>
        </is>
      </c>
      <c r="E151" s="43" t="inlineStr">
        <is>
          <t>pilot-v2-doc-pm-kmy-guidelines-0020-27037b9fe8a1</t>
        </is>
      </c>
      <c r="F151" s="43" t="inlineStr">
        <is>
          <t>Pradhan Mantri Kisan Maan Dhan Yojana Operational Guidelines</t>
        </is>
      </c>
      <c r="G151"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151" s="49" t="inlineStr">
        <is>
          <t>0</t>
        </is>
      </c>
      <c r="I151" s="49" t="str"/>
      <c r="J151" s="55">
        <f>INT((ROW()-2)/50)+1</f>
        <v/>
      </c>
      <c r="K151" s="55">
        <f>IF(H151="","Pending",IF(OR(H151="0",H151="1",H151="2",H151="U"),"Complete","Invalid"))</f>
        <v/>
      </c>
    </row>
    <row r="152" ht="84" customHeight="1">
      <c r="A152" s="43" t="inlineStr">
        <is>
          <t>v2q-010-candidate-21</t>
        </is>
      </c>
      <c r="B152" s="43" t="inlineStr">
        <is>
          <t>v2q-010</t>
        </is>
      </c>
      <c r="C152" s="43" t="inlineStr">
        <is>
          <t>What is the full form of PM POSHAN, and what meal benefit does it provide?</t>
        </is>
      </c>
      <c r="D152" s="43" t="inlineStr">
        <is>
          <t>PM POSHAN means Prime Minister's Overarching Scheme for Holistic Nourishment and provides one hot cooked meal to children in government and government-aided schools.</t>
        </is>
      </c>
      <c r="E152" s="43" t="inlineStr">
        <is>
          <t>pilot-v2-doc-ab-pmjay-0001-a632a7205efc</t>
        </is>
      </c>
      <c r="F152" s="43" t="inlineStr">
        <is>
          <t>Ayushman Bharat - Pradhan Mantri Jan Arogya Yojana</t>
        </is>
      </c>
      <c r="G152"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152" s="49" t="inlineStr">
        <is>
          <t>0</t>
        </is>
      </c>
      <c r="I152" s="49" t="str"/>
      <c r="J152" s="55">
        <f>INT((ROW()-2)/50)+1</f>
        <v/>
      </c>
      <c r="K152" s="55">
        <f>IF(H152="","Pending",IF(OR(H152="0",H152="1",H152="2",H152="U"),"Complete","Invalid"))</f>
        <v/>
      </c>
    </row>
    <row r="153" ht="84" customHeight="1">
      <c r="A153" s="43" t="inlineStr">
        <is>
          <t>v2q-009-candidate-20</t>
        </is>
      </c>
      <c r="B153" s="43" t="inlineStr">
        <is>
          <t>v2q-009</t>
        </is>
      </c>
      <c r="C153" s="43" t="inlineStr">
        <is>
          <t>What does APY stand for, and what monthly pension range does it guarantee after age 60?</t>
        </is>
      </c>
      <c r="D153" s="43" t="inlineStr">
        <is>
          <t>APY stands for Atal Pension Yojana and offers guaranteed monthly pension options from ₹1,000 to ₹5,000 after age 60.</t>
        </is>
      </c>
      <c r="E153" s="43" t="inlineStr">
        <is>
          <t>pilot-v2-doc-ab-pmjay-0002-58c80bb24a6c</t>
        </is>
      </c>
      <c r="F153" s="43" t="inlineStr">
        <is>
          <t>Ayushman Bharat - Pradhan Mantri Jan Arogya Yojana</t>
        </is>
      </c>
      <c r="G153"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153" s="49" t="inlineStr">
        <is>
          <t>0</t>
        </is>
      </c>
      <c r="I153" s="49" t="str"/>
      <c r="J153" s="55">
        <f>INT((ROW()-2)/50)+1</f>
        <v/>
      </c>
      <c r="K153" s="55">
        <f>IF(H153="","Pending",IF(OR(H153="0",H153="1",H153="2",H153="U"),"Complete","Invalid"))</f>
        <v/>
      </c>
    </row>
    <row r="154" ht="84" customHeight="1">
      <c r="A154" s="43" t="inlineStr">
        <is>
          <t>v2q-014-candidate-09</t>
        </is>
      </c>
      <c r="B154" s="43" t="inlineStr">
        <is>
          <t>v2q-014</t>
        </is>
      </c>
      <c r="C154" s="43" t="inlineStr">
        <is>
          <t>Under the national ration programme, what monthly cereal allocation goes to families in the poorest entitlement tier and to each person in the priority tier?</t>
        </is>
      </c>
      <c r="D154" s="43" t="inlineStr">
        <is>
          <t>AAY families receive 35 kilograms per family per month, while PHH beneficiaries receive 5 kilograms per person per month.</t>
        </is>
      </c>
      <c r="E154" s="43" t="inlineStr">
        <is>
          <t>pilot-v2-doc-pm-poshan-0000-7be831685336</t>
        </is>
      </c>
      <c r="F154" s="43" t="inlineStr">
        <is>
          <t>PM POSHAN - Prime Minister's Overarching Scheme For Holistic Nourishment</t>
        </is>
      </c>
      <c r="G154" s="43" t="inlineStr">
        <is>
          <t>PM POSHAN - Prime Minister's Overarching Scheme For Holistic Nourishment. Ministry of Education. Department of School Education and Literacy. Ministry Of Education. 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 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 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t>
        </is>
      </c>
      <c r="H154" s="49" t="inlineStr">
        <is>
          <t>0</t>
        </is>
      </c>
      <c r="I154" s="49" t="str"/>
      <c r="J154" s="55">
        <f>INT((ROW()-2)/50)+1</f>
        <v/>
      </c>
      <c r="K154" s="55">
        <f>IF(H154="","Pending",IF(OR(H154="0",H154="1",H154="2",H154="U"),"Complete","Invalid"))</f>
        <v/>
      </c>
    </row>
    <row r="155" ht="84" customHeight="1">
      <c r="A155" s="43" t="inlineStr">
        <is>
          <t>v2q-029-candidate-08</t>
        </is>
      </c>
      <c r="B155" s="43" t="inlineStr">
        <is>
          <t>v2q-029</t>
        </is>
      </c>
      <c r="C155" s="43" t="inlineStr">
        <is>
          <t>What migrant-focused facility distinguishes Ujjwala 2.0, and what clean-cooking transition was established by its predecessor programme?</t>
        </is>
      </c>
      <c r="D155" s="43" t="inlineStr">
        <is>
          <t>Ujjwala 2.0 added 1.6 crore LPG connections with a special facility for migrant households. Its predecessor, Pradhan Mantri Ujjwala Yojana, sought to replace traditional cooking fuels with LPG access for rural and deprived households.</t>
        </is>
      </c>
      <c r="E155" s="43" t="inlineStr">
        <is>
          <t>pilot-v2-doc-ab-pmjay-0000-94c82a474579</t>
        </is>
      </c>
      <c r="F155" s="43" t="inlineStr">
        <is>
          <t>Ayushman Bharat - Pradhan Mantri Jan Arogya Yojana</t>
        </is>
      </c>
      <c r="G155"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155" s="49" t="inlineStr">
        <is>
          <t>0</t>
        </is>
      </c>
      <c r="I155" s="49" t="str"/>
      <c r="J155" s="55">
        <f>INT((ROW()-2)/50)+1</f>
        <v/>
      </c>
      <c r="K155" s="55">
        <f>IF(H155="","Pending",IF(OR(H155="0",H155="1",H155="2",H155="U"),"Complete","Invalid"))</f>
        <v/>
      </c>
    </row>
    <row r="156" ht="84" customHeight="1">
      <c r="A156" s="43" t="inlineStr">
        <is>
          <t>v2q-020-candidate-02</t>
        </is>
      </c>
      <c r="B156" s="43" t="inlineStr">
        <is>
          <t>v2q-020</t>
        </is>
      </c>
      <c r="C156" s="43" t="inlineStr">
        <is>
          <t>How do NSDC and SPIAs divide responsibility in the Special Projects arm of the national skill mission?</t>
        </is>
      </c>
      <c r="D156" s="43" t="inlineStr">
        <is>
          <t>NSDC supports the ministry’s implementation, while Special Projects Implementing Agencies deliver the projects on the ground.</t>
        </is>
      </c>
      <c r="E156" s="43" t="inlineStr">
        <is>
          <t>pilot-v2-doc-pm-janman-0002-d0844e3327b6</t>
        </is>
      </c>
      <c r="F156" s="43" t="inlineStr">
        <is>
          <t>PM Janjati Adivasi Nyaya Maha Abhiyan (PM JANMAN)</t>
        </is>
      </c>
      <c r="G156"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156" s="49" t="inlineStr">
        <is>
          <t>0</t>
        </is>
      </c>
      <c r="I156" s="49" t="str"/>
      <c r="J156" s="55">
        <f>INT((ROW()-2)/50)+1</f>
        <v/>
      </c>
      <c r="K156" s="55">
        <f>IF(H156="","Pending",IF(OR(H156="0",H156="1",H156="2",H156="U"),"Complete","Invalid"))</f>
        <v/>
      </c>
    </row>
    <row r="157" ht="84" customHeight="1">
      <c r="A157" s="43" t="inlineStr">
        <is>
          <t>v2q-033-candidate-07</t>
        </is>
      </c>
      <c r="B157" s="43" t="inlineStr">
        <is>
          <t>v2q-033</t>
        </is>
      </c>
      <c r="C157" s="43" t="inlineStr">
        <is>
          <t>How do three programmes support micro-enterprises, new enterprise creation, and street-vendor livelihoods through different financial mechanisms?</t>
        </is>
      </c>
      <c r="D157" s="43" t="inlineStr">
        <is>
          <t>PMMY provides micro-credit to eligible micro-enterprises; PMEGP uses a credit-linked subsidy to establish new micro-enterprises; PM SVANidhi provides street vendors collateral-free working-capital loans, interest subsidy, and digital-payment incentives.</t>
        </is>
      </c>
      <c r="E157" s="43" t="inlineStr">
        <is>
          <t>pilot-v2-doc-pmegp-0001-f900b4f4f97a</t>
        </is>
      </c>
      <c r="F157" s="43" t="inlineStr">
        <is>
          <t>Prime Minister's Employment Generation Programme</t>
        </is>
      </c>
      <c r="G157" s="43" t="inlineStr">
        <is>
          <t>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is>
      </c>
      <c r="H157" s="49" t="inlineStr">
        <is>
          <t>2</t>
        </is>
      </c>
      <c r="I157" s="49" t="str"/>
      <c r="J157" s="55">
        <f>INT((ROW()-2)/50)+1</f>
        <v/>
      </c>
      <c r="K157" s="55">
        <f>IF(H157="","Pending",IF(OR(H157="0",H157="1",H157="2",H157="U"),"Complete","Invalid"))</f>
        <v/>
      </c>
    </row>
    <row r="158" ht="84" customHeight="1">
      <c r="A158" s="43" t="inlineStr">
        <is>
          <t>v2q-001-candidate-12</t>
        </is>
      </c>
      <c r="B158" s="43" t="inlineStr">
        <is>
          <t>v2q-001</t>
        </is>
      </c>
      <c r="C158" s="43" t="inlineStr">
        <is>
          <t>What is the minimum house size specified under PMAY-G?</t>
        </is>
      </c>
      <c r="D158" s="43" t="inlineStr">
        <is>
          <t>The minimum house size is 25 square metres, including a dedicated hygienic cooking area.</t>
        </is>
      </c>
      <c r="E158" s="43" t="inlineStr">
        <is>
          <t>pilot-v2-doc-apy-0000-c43dd88d7899</t>
        </is>
      </c>
      <c r="F158" s="43" t="inlineStr">
        <is>
          <t>Atal Pension Yojana</t>
        </is>
      </c>
      <c r="G158"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158" s="49" t="inlineStr">
        <is>
          <t>0</t>
        </is>
      </c>
      <c r="I158" s="49" t="str"/>
      <c r="J158" s="55">
        <f>INT((ROW()-2)/50)+1</f>
        <v/>
      </c>
      <c r="K158" s="55">
        <f>IF(H158="","Pending",IF(OR(H158="0",H158="1",H158="2",H158="U"),"Complete","Invalid"))</f>
        <v/>
      </c>
    </row>
    <row r="159" ht="84" customHeight="1">
      <c r="A159" s="43" t="inlineStr">
        <is>
          <t>v2q-004-candidate-21</t>
        </is>
      </c>
      <c r="B159" s="43" t="inlineStr">
        <is>
          <t>v2q-004</t>
        </is>
      </c>
      <c r="C159" s="43" t="inlineStr">
        <is>
          <t>What is the maximum micro-loan amount stated for PMMY?</t>
        </is>
      </c>
      <c r="D159" s="43" t="inlineStr">
        <is>
          <t>PMMY facilitates micro-credit loans up to ₹20 lakh for eligible income-generating micro-enterprises.</t>
        </is>
      </c>
      <c r="E159" s="43" t="inlineStr">
        <is>
          <t>pilot-v2-doc-pmmy-0002-526833661bcb</t>
        </is>
      </c>
      <c r="F159" s="43" t="inlineStr">
        <is>
          <t>Pradhan Mantri Mudra Yojana</t>
        </is>
      </c>
      <c r="G159" s="43" t="inlineStr">
        <is>
          <t>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H159" s="49" t="inlineStr">
        <is>
          <t>1</t>
        </is>
      </c>
      <c r="I159" s="49" t="str"/>
      <c r="J159" s="55">
        <f>INT((ROW()-2)/50)+1</f>
        <v/>
      </c>
      <c r="K159" s="55">
        <f>IF(H159="","Pending",IF(OR(H159="0",H159="1",H159="2",H159="U"),"Complete","Invalid"))</f>
        <v/>
      </c>
    </row>
    <row r="160" ht="84" customHeight="1">
      <c r="A160" s="43" t="inlineStr">
        <is>
          <t>v2q-029-candidate-07</t>
        </is>
      </c>
      <c r="B160" s="43" t="inlineStr">
        <is>
          <t>v2q-029</t>
        </is>
      </c>
      <c r="C160" s="43" t="inlineStr">
        <is>
          <t>What migrant-focused facility distinguishes Ujjwala 2.0, and what clean-cooking transition was established by its predecessor programme?</t>
        </is>
      </c>
      <c r="D160" s="43" t="inlineStr">
        <is>
          <t>Ujjwala 2.0 added 1.6 crore LPG connections with a special facility for migrant households. Its predecessor, Pradhan Mantri Ujjwala Yojana, sought to replace traditional cooking fuels with LPG access for rural and deprived households.</t>
        </is>
      </c>
      <c r="E160" s="43" t="inlineStr">
        <is>
          <t>pilot-v2-doc-pmuy2-0002-61d762b2cd43</t>
        </is>
      </c>
      <c r="F160" s="43" t="inlineStr">
        <is>
          <t>Pradhan Mantri Ujjwala Yojana 2.0</t>
        </is>
      </c>
      <c r="G160" s="43" t="inlineStr">
        <is>
          <t>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 the official website. Step 2: Select the option Apply for the New Ujjwala 2.0 Connection. Step 3: Scroll down to and click on Online Portal. and Select the LPG distribution company name example Indane / Bharatgas / HP Gas. Step 4: Click on Register Now on the selected LPG distribution company. Step 5: Select a type of Connection like Ujjwala 2.0 New Connection. Step 6: Choose the State, District, Pin Code, and Name of the Distributor. Then Enter your Mobile Number, Captcha, and OTP. Step 7: Select the type of KYC New KYC and Normal KYC. Step 8: Select Migrant Family status in YES or NO Step 9: For the family Identifier in NO fill in Annexure 1 Step 10: For family Identifier in Yes fill in Ration Card Step 11: Fill in all Family Details, Personal details, address details, bank details, Choose Cylinder Types, Select rural or urban and select the declaration and submit. Step 12: Generate the Reference number and Print your applied form attach all the documents you submitted online and visit the selected Gas agency.</t>
        </is>
      </c>
      <c r="H160" s="49" t="inlineStr">
        <is>
          <t>2</t>
        </is>
      </c>
      <c r="I160" s="49" t="str"/>
      <c r="J160" s="55">
        <f>INT((ROW()-2)/50)+1</f>
        <v/>
      </c>
      <c r="K160" s="55">
        <f>IF(H160="","Pending",IF(OR(H160="0",H160="1",H160="2",H160="U"),"Complete","Invalid"))</f>
        <v/>
      </c>
    </row>
    <row r="161" ht="84" customHeight="1">
      <c r="A161" s="43" t="inlineStr">
        <is>
          <t>v2q-015-candidate-15</t>
        </is>
      </c>
      <c r="B161" s="43" t="inlineStr">
        <is>
          <t>v2q-015</t>
        </is>
      </c>
      <c r="C161" s="43" t="inlineStr">
        <is>
          <t>Which initiative helps job-seekers and established craftspeople launch small businesses outside agriculture?</t>
        </is>
      </c>
      <c r="D161" s="43" t="inlineStr">
        <is>
          <t>The Prime Minister's Employment Generation Programme supports new micro-enterprises to create self-employment for traditional artisans, unemployed youth, and other eligible beneficiaries.</t>
        </is>
      </c>
      <c r="E161" s="43" t="inlineStr">
        <is>
          <t>pilot-v2-doc-pmmy-0000-70a89ee32765</t>
        </is>
      </c>
      <c r="F161" s="43" t="inlineStr">
        <is>
          <t>Pradhan Mantri Mudra Yojana</t>
        </is>
      </c>
      <c r="G161"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161" s="49" t="inlineStr">
        <is>
          <t>0</t>
        </is>
      </c>
      <c r="I161" s="49" t="str"/>
      <c r="J161" s="55">
        <f>INT((ROW()-2)/50)+1</f>
        <v/>
      </c>
      <c r="K161" s="55">
        <f>IF(H161="","Pending",IF(OR(H161="0",H161="1",H161="2",H161="U"),"Complete","Invalid"))</f>
        <v/>
      </c>
    </row>
    <row r="162" ht="84" customHeight="1">
      <c r="A162" s="43" t="inlineStr">
        <is>
          <t>v2q-006-candidate-07</t>
        </is>
      </c>
      <c r="B162" s="43" t="inlineStr">
        <is>
          <t>v2q-006</t>
        </is>
      </c>
      <c r="C162" s="43" t="inlineStr">
        <is>
          <t>What annual hospitalisation cover does AB-PMJAY provide per eligible family?</t>
        </is>
      </c>
      <c r="D162" s="43" t="inlineStr">
        <is>
          <t>AB-PMJAY provides cashless hospitalisation cover of ₹5 lakh per family per year for secondary and tertiary healthcare.</t>
        </is>
      </c>
      <c r="E162" s="43" t="inlineStr">
        <is>
          <t>pilot-v2-doc-pmegp-0003-43256e8e6645</t>
        </is>
      </c>
      <c r="F162" s="43" t="inlineStr">
        <is>
          <t>Prime Minister's Employment Generation Programme</t>
        </is>
      </c>
      <c r="G162"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162" s="49" t="inlineStr">
        <is>
          <t>0</t>
        </is>
      </c>
      <c r="I162" s="49" t="str"/>
      <c r="J162" s="55">
        <f>INT((ROW()-2)/50)+1</f>
        <v/>
      </c>
      <c r="K162" s="55">
        <f>IF(H162="","Pending",IF(OR(H162="0",H162="1",H162="2",H162="U"),"Complete","Invalid"))</f>
        <v/>
      </c>
    </row>
    <row r="163" ht="84" customHeight="1">
      <c r="A163" s="43" t="inlineStr">
        <is>
          <t>v2q-006-candidate-21</t>
        </is>
      </c>
      <c r="B163" s="43" t="inlineStr">
        <is>
          <t>v2q-006</t>
        </is>
      </c>
      <c r="C163" s="43" t="inlineStr">
        <is>
          <t>What annual hospitalisation cover does AB-PMJAY provide per eligible family?</t>
        </is>
      </c>
      <c r="D163" s="43" t="inlineStr">
        <is>
          <t>AB-PMJAY provides cashless hospitalisation cover of ₹5 lakh per family per year for secondary and tertiary healthcare.</t>
        </is>
      </c>
      <c r="E163" s="43" t="inlineStr">
        <is>
          <t>pilot-v2-doc-pmuy-0001-5fd4d0cd2135</t>
        </is>
      </c>
      <c r="F163" s="43" t="inlineStr">
        <is>
          <t>Pradhan Mantri Ujjwala Yojana</t>
        </is>
      </c>
      <c r="G163"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163" s="49" t="inlineStr">
        <is>
          <t>0</t>
        </is>
      </c>
      <c r="I163" s="49" t="str"/>
      <c r="J163" s="55">
        <f>INT((ROW()-2)/50)+1</f>
        <v/>
      </c>
      <c r="K163" s="55">
        <f>IF(H163="","Pending",IF(OR(H163="0",H163="1",H163="2",H163="U"),"Complete","Invalid"))</f>
        <v/>
      </c>
    </row>
    <row r="164" ht="84" customHeight="1">
      <c r="A164" s="43" t="inlineStr">
        <is>
          <t>v2q-029-candidate-01</t>
        </is>
      </c>
      <c r="B164" s="43" t="inlineStr">
        <is>
          <t>v2q-029</t>
        </is>
      </c>
      <c r="C164" s="43" t="inlineStr">
        <is>
          <t>What migrant-focused facility distinguishes Ujjwala 2.0, and what clean-cooking transition was established by its predecessor programme?</t>
        </is>
      </c>
      <c r="D164" s="43" t="inlineStr">
        <is>
          <t>Ujjwala 2.0 added 1.6 crore LPG connections with a special facility for migrant households. Its predecessor, Pradhan Mantri Ujjwala Yojana, sought to replace traditional cooking fuels with LPG access for rural and deprived households.</t>
        </is>
      </c>
      <c r="E164" s="43" t="inlineStr">
        <is>
          <t>pilot-v2-doc-pmuy2-0000-95fa2d4e3b3f</t>
        </is>
      </c>
      <c r="F164" s="43" t="inlineStr">
        <is>
          <t>Pradhan Mantri Ujjwala Yojana 2.0</t>
        </is>
      </c>
      <c r="G164"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164" s="49" t="inlineStr">
        <is>
          <t>2</t>
        </is>
      </c>
      <c r="I164" s="49" t="str"/>
      <c r="J164" s="55">
        <f>INT((ROW()-2)/50)+1</f>
        <v/>
      </c>
      <c r="K164" s="55">
        <f>IF(H164="","Pending",IF(OR(H164="0",H164="1",H164="2",H164="U"),"Complete","Invalid"))</f>
        <v/>
      </c>
    </row>
    <row r="165" ht="84" customHeight="1">
      <c r="A165" s="43" t="inlineStr">
        <is>
          <t>v2q-024-candidate-09</t>
        </is>
      </c>
      <c r="B165" s="43" t="inlineStr">
        <is>
          <t>v2q-024</t>
        </is>
      </c>
      <c r="C165" s="43" t="inlineStr">
        <is>
          <t>Which national health-assurance programme does NHA implement under the health ministry?</t>
        </is>
      </c>
      <c r="D165" s="43" t="inlineStr">
        <is>
          <t>The National Health Authority implements AB-PMJAY under the Ministry of Health and Family Welfare.</t>
        </is>
      </c>
      <c r="E165" s="43" t="inlineStr">
        <is>
          <t>pilot-v2-doc-pm-janman-0000-69ac65d10edc</t>
        </is>
      </c>
      <c r="F165" s="43" t="inlineStr">
        <is>
          <t>PM Janjati Adivasi Nyaya Maha Abhiyan (PM JANMAN)</t>
        </is>
      </c>
      <c r="G165"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165" s="49" t="inlineStr">
        <is>
          <t>0</t>
        </is>
      </c>
      <c r="I165" s="49" t="str"/>
      <c r="J165" s="55">
        <f>INT((ROW()-2)/50)+1</f>
        <v/>
      </c>
      <c r="K165" s="55">
        <f>IF(H165="","Pending",IF(OR(H165="0",H165="1",H165="2",H165="U"),"Complete","Invalid"))</f>
        <v/>
      </c>
    </row>
    <row r="166" ht="84" customHeight="1">
      <c r="A166" s="43" t="inlineStr">
        <is>
          <t>v2q-029-candidate-05</t>
        </is>
      </c>
      <c r="B166" s="43" t="inlineStr">
        <is>
          <t>v2q-029</t>
        </is>
      </c>
      <c r="C166" s="43" t="inlineStr">
        <is>
          <t>What migrant-focused facility distinguishes Ujjwala 2.0, and what clean-cooking transition was established by its predecessor programme?</t>
        </is>
      </c>
      <c r="D166" s="43" t="inlineStr">
        <is>
          <t>Ujjwala 2.0 added 1.6 crore LPG connections with a special facility for migrant households. Its predecessor, Pradhan Mantri Ujjwala Yojana, sought to replace traditional cooking fuels with LPG access for rural and deprived households.</t>
        </is>
      </c>
      <c r="E166" s="43" t="inlineStr">
        <is>
          <t>pilot-v2-doc-pm-janman-0000-69ac65d10edc</t>
        </is>
      </c>
      <c r="F166" s="43" t="inlineStr">
        <is>
          <t>PM Janjati Adivasi Nyaya Maha Abhiyan (PM JANMAN)</t>
        </is>
      </c>
      <c r="G166"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166" s="49" t="inlineStr">
        <is>
          <t>0</t>
        </is>
      </c>
      <c r="I166" s="49" t="str"/>
      <c r="J166" s="55">
        <f>INT((ROW()-2)/50)+1</f>
        <v/>
      </c>
      <c r="K166" s="55">
        <f>IF(H166="","Pending",IF(OR(H166="0",H166="1",H166="2",H166="U"),"Complete","Invalid"))</f>
        <v/>
      </c>
    </row>
    <row r="167" ht="84" customHeight="1">
      <c r="A167" s="43" t="inlineStr">
        <is>
          <t>v2q-018-candidate-05</t>
        </is>
      </c>
      <c r="B167" s="43" t="inlineStr">
        <is>
          <t>v2q-018</t>
        </is>
      </c>
      <c r="C167" s="43" t="inlineStr">
        <is>
          <t>Which initiative helps city households across officially defined lower and middle income bands obtain permanent homes?</t>
        </is>
      </c>
      <c r="D167" s="43" t="inlineStr">
        <is>
          <t>Pradhan Mantri Awas Yojana–Urban addresses urban housing shortages and supports eligible EWS, LIG, and MIG households, including slum dwellers.</t>
        </is>
      </c>
      <c r="E167" s="43" t="inlineStr">
        <is>
          <t>pilot-v2-doc-ab-pmjay-0001-a632a7205efc</t>
        </is>
      </c>
      <c r="F167" s="43" t="inlineStr">
        <is>
          <t>Ayushman Bharat - Pradhan Mantri Jan Arogya Yojana</t>
        </is>
      </c>
      <c r="G167"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167" s="49" t="inlineStr">
        <is>
          <t>0</t>
        </is>
      </c>
      <c r="I167" s="49" t="str"/>
      <c r="J167" s="55">
        <f>INT((ROW()-2)/50)+1</f>
        <v/>
      </c>
      <c r="K167" s="55">
        <f>IF(H167="","Pending",IF(OR(H167="0",H167="1",H167="2",H167="U"),"Complete","Invalid"))</f>
        <v/>
      </c>
    </row>
    <row r="168" ht="84" customHeight="1">
      <c r="A168" s="43" t="inlineStr">
        <is>
          <t>v2q-011-candidate-13</t>
        </is>
      </c>
      <c r="B168" s="43" t="inlineStr">
        <is>
          <t>v2q-011</t>
        </is>
      </c>
      <c r="C168" s="43" t="inlineStr">
        <is>
          <t>What does PM JANMAN stand for, and which communities does it target?</t>
        </is>
      </c>
      <c r="D168" s="43" t="inlineStr">
        <is>
          <t>PM JANMAN stands for PM Janjati Adivasi Nyaya Maha Abhiyan and targets Particularly Vulnerable Tribal Groups.</t>
        </is>
      </c>
      <c r="E168" s="43" t="inlineStr">
        <is>
          <t>pilot-v2-doc-ab-pmjay-0003-1242266bb260</t>
        </is>
      </c>
      <c r="F168" s="43" t="inlineStr">
        <is>
          <t>Ayushman Bharat - Pradhan Mantri Jan Arogya Yojana</t>
        </is>
      </c>
      <c r="G168"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168" s="49" t="inlineStr">
        <is>
          <t>0</t>
        </is>
      </c>
      <c r="I168" s="49" t="str"/>
      <c r="J168" s="55">
        <f>INT((ROW()-2)/50)+1</f>
        <v/>
      </c>
      <c r="K168" s="55">
        <f>IF(H168="","Pending",IF(OR(H168="0",H168="1",H168="2",H168="U"),"Complete","Invalid"))</f>
        <v/>
      </c>
    </row>
    <row r="169" ht="84" customHeight="1">
      <c r="A169" s="43" t="inlineStr">
        <is>
          <t>v2q-010-candidate-16</t>
        </is>
      </c>
      <c r="B169" s="43" t="inlineStr">
        <is>
          <t>v2q-010</t>
        </is>
      </c>
      <c r="C169" s="43" t="inlineStr">
        <is>
          <t>What is the full form of PM POSHAN, and what meal benefit does it provide?</t>
        </is>
      </c>
      <c r="D169" s="43" t="inlineStr">
        <is>
          <t>PM POSHAN means Prime Minister's Overarching Scheme for Holistic Nourishment and provides one hot cooked meal to children in government and government-aided schools.</t>
        </is>
      </c>
      <c r="E169" s="43" t="inlineStr">
        <is>
          <t>pilot-v2-doc-pm-kisan-guidelines-0000-bbe94f08550e</t>
        </is>
      </c>
      <c r="F169" s="43" t="inlineStr">
        <is>
          <t>PM-KISAN Operational Guidelines</t>
        </is>
      </c>
      <c r="G169"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169" s="49" t="inlineStr">
        <is>
          <t>0</t>
        </is>
      </c>
      <c r="I169" s="49" t="str"/>
      <c r="J169" s="55">
        <f>INT((ROW()-2)/50)+1</f>
        <v/>
      </c>
      <c r="K169" s="55">
        <f>IF(H169="","Pending",IF(OR(H169="0",H169="1",H169="2",H169="U"),"Complete","Invalid"))</f>
        <v/>
      </c>
    </row>
    <row r="170" ht="84" customHeight="1">
      <c r="A170" s="43" t="inlineStr">
        <is>
          <t>v2q-016-candidate-15</t>
        </is>
      </c>
      <c r="B170" s="43" t="inlineStr">
        <is>
          <t>v2q-016</t>
        </is>
      </c>
      <c r="C170" s="43" t="inlineStr">
        <is>
          <t>How can an experienced worker obtain formal recognition for skills learned outside a training course?</t>
        </is>
      </c>
      <c r="D170" s="43" t="inlineStr">
        <is>
          <t>PMKVY 4.0 Recognition of Prior Learning assesses, upskills, and certifies candidates who already possess relevant skills or prior-learning experience.</t>
        </is>
      </c>
      <c r="E170" s="43" t="inlineStr">
        <is>
          <t>pilot-v2-doc-ab-pmjay-0002-58c80bb24a6c</t>
        </is>
      </c>
      <c r="F170" s="43" t="inlineStr">
        <is>
          <t>Ayushman Bharat - Pradhan Mantri Jan Arogya Yojana</t>
        </is>
      </c>
      <c r="G170"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170" s="49" t="inlineStr">
        <is>
          <t>0</t>
        </is>
      </c>
      <c r="I170" s="49" t="str"/>
      <c r="J170" s="55">
        <f>INT((ROW()-2)/50)+1</f>
        <v/>
      </c>
      <c r="K170" s="55">
        <f>IF(H170="","Pending",IF(OR(H170="0",H170="1",H170="2",H170="U"),"Complete","Invalid"))</f>
        <v/>
      </c>
    </row>
    <row r="171" ht="84" customHeight="1">
      <c r="A171" s="43" t="inlineStr">
        <is>
          <t>v2q-017-candidate-10</t>
        </is>
      </c>
      <c r="B171" s="43" t="inlineStr">
        <is>
          <t>v2q-017</t>
        </is>
      </c>
      <c r="C171" s="43" t="inlineStr">
        <is>
          <t>Which training route serves people no longer in education or work who need an initial occupational skill?</t>
        </is>
      </c>
      <c r="D171" s="43" t="inlineStr">
        <is>
          <t>PMKVY 4.0 Short-Term Training provides fresh skilling, reskilling, or upskilling for groups including school or college dropouts and unemployed youth.</t>
        </is>
      </c>
      <c r="E171" s="43" t="inlineStr">
        <is>
          <t>pilot-v2-doc-pmkvy-sp-0004-57e566374b9c</t>
        </is>
      </c>
      <c r="F171" s="43" t="inlineStr">
        <is>
          <t>Pradhan Mantri Kaushal Vikas Yojana 4.0- Special Projects</t>
        </is>
      </c>
      <c r="G171" s="43" t="inlineStr">
        <is>
          <t>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 applicant appears for assessment by an NCVET-approved Awarding Body / Assessment Agency after completion of On-the-Job Training, requiring more than 70% biometric attendance to be eligible. Stage 9: On successful completion, the applicant is awarded a Quick Response (QR) code-based digital certificate, issued via DigiLocker, an email/phone download link, and the Skill India Digital profile page, along with one printed certificate provided free of cost by the Training Provider.</t>
        </is>
      </c>
      <c r="H171" s="49" t="inlineStr">
        <is>
          <t>1</t>
        </is>
      </c>
      <c r="I171" s="49" t="str"/>
      <c r="J171" s="55">
        <f>INT((ROW()-2)/50)+1</f>
        <v/>
      </c>
      <c r="K171" s="55">
        <f>IF(H171="","Pending",IF(OR(H171="0",H171="1",H171="2",H171="U"),"Complete","Invalid"))</f>
        <v/>
      </c>
    </row>
    <row r="172" ht="84" customHeight="1">
      <c r="A172" s="43" t="inlineStr">
        <is>
          <t>v2q-008-candidate-02</t>
        </is>
      </c>
      <c r="B172" s="43" t="inlineStr">
        <is>
          <t>v2q-008</t>
        </is>
      </c>
      <c r="C172" s="43" t="inlineStr">
        <is>
          <t>Which accident-insurance programme is abbreviated PMSBY, and which outcomes trigger its cover?</t>
        </is>
      </c>
      <c r="D172" s="43" t="inlineStr">
        <is>
          <t>PMSBY stands for Pradhan Mantri Suraksha Bima Yojana and covers accidental death and disability.</t>
        </is>
      </c>
      <c r="E172" s="43" t="inlineStr">
        <is>
          <t>pilot-v2-doc-pmkvy-stt-0001-ea2787dec4e8</t>
        </is>
      </c>
      <c r="F172" s="43" t="inlineStr">
        <is>
          <t>Pradhan Mantri Kaushal Vikas Yojana 4.0 - Short-Term Training</t>
        </is>
      </c>
      <c r="G172"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172" s="49" t="inlineStr">
        <is>
          <t>0</t>
        </is>
      </c>
      <c r="I172" s="49" t="str"/>
      <c r="J172" s="55">
        <f>INT((ROW()-2)/50)+1</f>
        <v/>
      </c>
      <c r="K172" s="55">
        <f>IF(H172="","Pending",IF(OR(H172="0",H172="1",H172="2",H172="U"),"Complete","Invalid"))</f>
        <v/>
      </c>
    </row>
    <row r="173" ht="84" customHeight="1">
      <c r="A173" s="43" t="inlineStr">
        <is>
          <t>v2q-027-candidate-06</t>
        </is>
      </c>
      <c r="B173" s="43" t="inlineStr">
        <is>
          <t>v2q-027</t>
        </is>
      </c>
      <c r="C173" s="43" t="inlineStr">
        <is>
          <t>What livelihood mechanism does PM SVANidhi offer street vendors, and which other programme from its ministry addresses housing shortages for eligible urban households?</t>
        </is>
      </c>
      <c r="D173" s="43" t="inlineStr">
        <is>
          <t>PM SVANidhi offers street vendors collateral-free working-capital loans, interest subsidy, and digital-payment incentives. PMAY-U, under the same Ministry of Housing and Urban Affairs, provides housing support for eligible urban households.</t>
        </is>
      </c>
      <c r="E173" s="43" t="inlineStr">
        <is>
          <t>pilot-v2-doc-pm-svanidhi-0001-e06d259b429d</t>
        </is>
      </c>
      <c r="F173" s="43" t="inlineStr">
        <is>
          <t>PM Street Vendor’s AtmaNirbhar Nidhi (PM SVANidhi)</t>
        </is>
      </c>
      <c r="G173"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173" s="49" t="inlineStr">
        <is>
          <t>2</t>
        </is>
      </c>
      <c r="I173" s="49" t="str"/>
      <c r="J173" s="55">
        <f>INT((ROW()-2)/50)+1</f>
        <v/>
      </c>
      <c r="K173" s="55">
        <f>IF(H173="","Pending",IF(OR(H173="0",H173="1",H173="2",H173="U"),"Complete","Invalid"))</f>
        <v/>
      </c>
    </row>
    <row r="174" ht="84" customHeight="1">
      <c r="A174" s="43" t="inlineStr">
        <is>
          <t>v2q-015-candidate-07</t>
        </is>
      </c>
      <c r="B174" s="43" t="inlineStr">
        <is>
          <t>v2q-015</t>
        </is>
      </c>
      <c r="C174" s="43" t="inlineStr">
        <is>
          <t>Which initiative helps job-seekers and established craftspeople launch small businesses outside agriculture?</t>
        </is>
      </c>
      <c r="D174" s="43" t="inlineStr">
        <is>
          <t>The Prime Minister's Employment Generation Programme supports new micro-enterprises to create self-employment for traditional artisans, unemployed youth, and other eligible beneficiaries.</t>
        </is>
      </c>
      <c r="E174" s="43" t="inlineStr">
        <is>
          <t>pilot-v2-doc-apy-0000-c43dd88d7899</t>
        </is>
      </c>
      <c r="F174" s="43" t="inlineStr">
        <is>
          <t>Atal Pension Yojana</t>
        </is>
      </c>
      <c r="G174"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174" s="49" t="inlineStr">
        <is>
          <t>0</t>
        </is>
      </c>
      <c r="I174" s="49" t="str"/>
      <c r="J174" s="55">
        <f>INT((ROW()-2)/50)+1</f>
        <v/>
      </c>
      <c r="K174" s="55">
        <f>IF(H174="","Pending",IF(OR(H174="0",H174="1",H174="2",H174="U"),"Complete","Invalid"))</f>
        <v/>
      </c>
    </row>
    <row r="175" ht="84" customHeight="1">
      <c r="A175" s="43" t="inlineStr">
        <is>
          <t>v2q-006-candidate-06</t>
        </is>
      </c>
      <c r="B175" s="43" t="inlineStr">
        <is>
          <t>v2q-006</t>
        </is>
      </c>
      <c r="C175" s="43" t="inlineStr">
        <is>
          <t>What annual hospitalisation cover does AB-PMJAY provide per eligible family?</t>
        </is>
      </c>
      <c r="D175" s="43" t="inlineStr">
        <is>
          <t>AB-PMJAY provides cashless hospitalisation cover of ₹5 lakh per family per year for secondary and tertiary healthcare.</t>
        </is>
      </c>
      <c r="E175" s="43" t="inlineStr">
        <is>
          <t>pilot-v2-doc-pmjjby-0000-47f7bb620cd4</t>
        </is>
      </c>
      <c r="F175" s="43" t="inlineStr">
        <is>
          <t>Pradhan Mantri Jeevan Jyoti Bima Yojana</t>
        </is>
      </c>
      <c r="G175"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175" s="49" t="inlineStr">
        <is>
          <t>0</t>
        </is>
      </c>
      <c r="I175" s="49" t="str"/>
      <c r="J175" s="55">
        <f>INT((ROW()-2)/50)+1</f>
        <v/>
      </c>
      <c r="K175" s="55">
        <f>IF(H175="","Pending",IF(OR(H175="0",H175="1",H175="2",H175="U"),"Complete","Invalid"))</f>
        <v/>
      </c>
    </row>
    <row r="176" ht="84" customHeight="1">
      <c r="A176" s="43" t="inlineStr">
        <is>
          <t>v2q-031-candidate-15</t>
        </is>
      </c>
      <c r="B176" s="43" t="inlineStr">
        <is>
          <t>v2q-031</t>
        </is>
      </c>
      <c r="C176" s="43" t="inlineStr">
        <is>
          <t>How do three finance-sector programmes combine basic banking, life insurance, and accident insurance?</t>
        </is>
      </c>
      <c r="D176" s="43" t="inlineStr">
        <is>
          <t>PMJDY provides universal banking and access to financial services; PMJJBY supplies life cover for death from any cause; PMSBY supplies accidental-death and disability cover.</t>
        </is>
      </c>
      <c r="E176" s="43" t="inlineStr">
        <is>
          <t>pilot-v2-doc-pmjdy-0001-95c3d046d79a</t>
        </is>
      </c>
      <c r="F176" s="43" t="inlineStr">
        <is>
          <t>Pradhan Mantri Jan Dhan Yojana</t>
        </is>
      </c>
      <c r="G176"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176" s="49" t="inlineStr">
        <is>
          <t>2</t>
        </is>
      </c>
      <c r="I176" s="49" t="str"/>
      <c r="J176" s="55">
        <f>INT((ROW()-2)/50)+1</f>
        <v/>
      </c>
      <c r="K176" s="55">
        <f>IF(H176="","Pending",IF(OR(H176="0",H176="1",H176="2",H176="U"),"Complete","Invalid"))</f>
        <v/>
      </c>
    </row>
    <row r="177" ht="84" customHeight="1">
      <c r="A177" s="43" t="inlineStr">
        <is>
          <t>v2q-014-candidate-20</t>
        </is>
      </c>
      <c r="B177" s="43" t="inlineStr">
        <is>
          <t>v2q-014</t>
        </is>
      </c>
      <c r="C177" s="43" t="inlineStr">
        <is>
          <t>Under the national ration programme, what monthly cereal allocation goes to families in the poorest entitlement tier and to each person in the priority tier?</t>
        </is>
      </c>
      <c r="D177" s="43" t="inlineStr">
        <is>
          <t>AAY families receive 35 kilograms per family per month, while PHH beneficiaries receive 5 kilograms per person per month.</t>
        </is>
      </c>
      <c r="E177" s="43" t="inlineStr">
        <is>
          <t>pilot-v2-doc-apy-0002-66a5cc4017fb</t>
        </is>
      </c>
      <c r="F177" s="43" t="inlineStr">
        <is>
          <t>Atal Pension Yojana</t>
        </is>
      </c>
      <c r="G177"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177" s="49" t="inlineStr">
        <is>
          <t>0</t>
        </is>
      </c>
      <c r="I177" s="49" t="str"/>
      <c r="J177" s="55">
        <f>INT((ROW()-2)/50)+1</f>
        <v/>
      </c>
      <c r="K177" s="55">
        <f>IF(H177="","Pending",IF(OR(H177="0",H177="1",H177="2",H177="U"),"Complete","Invalid"))</f>
        <v/>
      </c>
    </row>
    <row r="178" ht="84" customHeight="1">
      <c r="A178" s="43" t="inlineStr">
        <is>
          <t>v2q-009-candidate-16</t>
        </is>
      </c>
      <c r="B178" s="43" t="inlineStr">
        <is>
          <t>v2q-009</t>
        </is>
      </c>
      <c r="C178" s="43" t="inlineStr">
        <is>
          <t>What does APY stand for, and what monthly pension range does it guarantee after age 60?</t>
        </is>
      </c>
      <c r="D178" s="43" t="inlineStr">
        <is>
          <t>APY stands for Atal Pension Yojana and offers guaranteed monthly pension options from ₹1,000 to ₹5,000 after age 60.</t>
        </is>
      </c>
      <c r="E178" s="43" t="inlineStr">
        <is>
          <t>pilot-v2-doc-pm-kmy-guidelines-0021-7ce201d9d183</t>
        </is>
      </c>
      <c r="F178" s="43" t="inlineStr">
        <is>
          <t>Pradhan Mantri Kisan Maan Dhan Yojana Operational Guidelines</t>
        </is>
      </c>
      <c r="G178"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178" s="49" t="inlineStr">
        <is>
          <t>0</t>
        </is>
      </c>
      <c r="I178" s="49" t="str"/>
      <c r="J178" s="55">
        <f>INT((ROW()-2)/50)+1</f>
        <v/>
      </c>
      <c r="K178" s="55">
        <f>IF(H178="","Pending",IF(OR(H178="0",H178="1",H178="2",H178="U"),"Complete","Invalid"))</f>
        <v/>
      </c>
    </row>
    <row r="179" ht="84" customHeight="1">
      <c r="A179" s="43" t="inlineStr">
        <is>
          <t>v2q-001-candidate-10</t>
        </is>
      </c>
      <c r="B179" s="43" t="inlineStr">
        <is>
          <t>v2q-001</t>
        </is>
      </c>
      <c r="C179" s="43" t="inlineStr">
        <is>
          <t>What is the minimum house size specified under PMAY-G?</t>
        </is>
      </c>
      <c r="D179" s="43" t="inlineStr">
        <is>
          <t>The minimum house size is 25 square metres, including a dedicated hygienic cooking area.</t>
        </is>
      </c>
      <c r="E179" s="43" t="inlineStr">
        <is>
          <t>pilot-v2-doc-pm-poshan-0000-7be831685336</t>
        </is>
      </c>
      <c r="F179" s="43" t="inlineStr">
        <is>
          <t>PM POSHAN - Prime Minister's Overarching Scheme For Holistic Nourishment</t>
        </is>
      </c>
      <c r="G179" s="43" t="inlineStr">
        <is>
          <t>PM POSHAN - Prime Minister's Overarching Scheme For Holistic Nourishment. Ministry of Education. Department of School Education and Literacy. Ministry Of Education. 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 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 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t>
        </is>
      </c>
      <c r="H179" s="49" t="inlineStr">
        <is>
          <t>0</t>
        </is>
      </c>
      <c r="I179" s="49" t="str"/>
      <c r="J179" s="55">
        <f>INT((ROW()-2)/50)+1</f>
        <v/>
      </c>
      <c r="K179" s="55">
        <f>IF(H179="","Pending",IF(OR(H179="0",H179="1",H179="2",H179="U"),"Complete","Invalid"))</f>
        <v/>
      </c>
    </row>
    <row r="180" ht="84" customHeight="1">
      <c r="A180" s="43" t="inlineStr">
        <is>
          <t>v2q-020-candidate-10</t>
        </is>
      </c>
      <c r="B180" s="43" t="inlineStr">
        <is>
          <t>v2q-020</t>
        </is>
      </c>
      <c r="C180" s="43" t="inlineStr">
        <is>
          <t>How do NSDC and SPIAs divide responsibility in the Special Projects arm of the national skill mission?</t>
        </is>
      </c>
      <c r="D180" s="43" t="inlineStr">
        <is>
          <t>NSDC supports the ministry’s implementation, while Special Projects Implementing Agencies deliver the projects on the ground.</t>
        </is>
      </c>
      <c r="E180" s="43" t="inlineStr">
        <is>
          <t>pilot-v2-doc-mgnrega-0000-7e6d80b47566</t>
        </is>
      </c>
      <c r="F180" s="43" t="inlineStr">
        <is>
          <t>Mahatma Gandhi National Rural Employment Guarantee Act</t>
        </is>
      </c>
      <c r="G180"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180" s="49" t="inlineStr">
        <is>
          <t>0</t>
        </is>
      </c>
      <c r="I180" s="49" t="str"/>
      <c r="J180" s="55">
        <f>INT((ROW()-2)/50)+1</f>
        <v/>
      </c>
      <c r="K180" s="55">
        <f>IF(H180="","Pending",IF(OR(H180="0",H180="1",H180="2",H180="U"),"Complete","Invalid"))</f>
        <v/>
      </c>
    </row>
    <row r="181" ht="84" customHeight="1">
      <c r="A181" s="43" t="inlineStr">
        <is>
          <t>v2q-025-candidate-09</t>
        </is>
      </c>
      <c r="B181" s="43" t="inlineStr">
        <is>
          <t>v2q-025</t>
        </is>
      </c>
      <c r="C181" s="43" t="inlineStr">
        <is>
          <t>What banking function does PMJDY provide, and which other programme from its ministry finances income-generating micro-enterprises?</t>
        </is>
      </c>
      <c r="D181" s="43" t="inlineStr">
        <is>
          <t>PMJDY provides universal banking services for unbanked households. PMMY, under the same Ministry of Finance, provides micro-credit for income-generating micro-enterprises.</t>
        </is>
      </c>
      <c r="E181" s="43" t="inlineStr">
        <is>
          <t>pilot-v2-doc-pmmy-0002-526833661bcb</t>
        </is>
      </c>
      <c r="F181" s="43" t="inlineStr">
        <is>
          <t>Pradhan Mantri Mudra Yojana</t>
        </is>
      </c>
      <c r="G181" s="43" t="inlineStr">
        <is>
          <t>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H181" s="49" t="inlineStr">
        <is>
          <t>1</t>
        </is>
      </c>
      <c r="I181" s="49" t="str"/>
      <c r="J181" s="55">
        <f>INT((ROW()-2)/50)+1</f>
        <v/>
      </c>
      <c r="K181" s="55">
        <f>IF(H181="","Pending",IF(OR(H181="0",H181="1",H181="2",H181="U"),"Complete","Invalid"))</f>
        <v/>
      </c>
    </row>
    <row r="182" ht="84" customHeight="1">
      <c r="A182" s="43" t="inlineStr">
        <is>
          <t>v2q-026-candidate-20</t>
        </is>
      </c>
      <c r="B182" s="43" t="inlineStr">
        <is>
          <t>v2q-026</t>
        </is>
      </c>
      <c r="C182" s="43" t="inlineStr">
        <is>
          <t>What employment guarantee does MGNREGA provide, and which other programme from its ministry supplies pucca houses to rural households?</t>
        </is>
      </c>
      <c r="D182" s="43" t="inlineStr">
        <is>
          <t>MGNREGA guarantees at least 100 days of wage employment to qualifying rural households. PMAY-G, under the same Ministry of Rural Development, supports pucca houses with basic amenities for eligible rural households.</t>
        </is>
      </c>
      <c r="E182" s="43" t="inlineStr">
        <is>
          <t>pilot-v2-doc-pm-kisan-guidelines-0012-a77da98de388</t>
        </is>
      </c>
      <c r="F182" s="43" t="inlineStr">
        <is>
          <t>PM-KISAN Operational Guidelines</t>
        </is>
      </c>
      <c r="G182" s="43" t="inlineStr">
        <is>
          <t>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is>
      </c>
      <c r="H182" s="49" t="inlineStr">
        <is>
          <t>0</t>
        </is>
      </c>
      <c r="I182" s="49" t="str"/>
      <c r="J182" s="55">
        <f>INT((ROW()-2)/50)+1</f>
        <v/>
      </c>
      <c r="K182" s="55">
        <f>IF(H182="","Pending",IF(OR(H182="0",H182="1",H182="2",H182="U"),"Complete","Invalid"))</f>
        <v/>
      </c>
    </row>
    <row r="183" ht="84" customHeight="1">
      <c r="A183" s="43" t="inlineStr">
        <is>
          <t>v2q-005-candidate-13</t>
        </is>
      </c>
      <c r="B183" s="43" t="inlineStr">
        <is>
          <t>v2q-005</t>
        </is>
      </c>
      <c r="C183" s="43" t="inlineStr">
        <is>
          <t>How many days of wage employment does MGNREGA guarantee a rural household in a financial year?</t>
        </is>
      </c>
      <c r="D183" s="43" t="inlineStr">
        <is>
          <t>MGNREGA guarantees at least 100 days of wage employment per financial year to a rural household whose adult members volunteer for unskilled work.</t>
        </is>
      </c>
      <c r="E183" s="43" t="inlineStr">
        <is>
          <t>pilot-v2-doc-pm-svanidhi-0001-e06d259b429d</t>
        </is>
      </c>
      <c r="F183" s="43" t="inlineStr">
        <is>
          <t>PM Street Vendor’s AtmaNirbhar Nidhi (PM SVANidhi)</t>
        </is>
      </c>
      <c r="G183"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183" s="49" t="inlineStr">
        <is>
          <t>0</t>
        </is>
      </c>
      <c r="I183" s="49" t="str"/>
      <c r="J183" s="55">
        <f>INT((ROW()-2)/50)+1</f>
        <v/>
      </c>
      <c r="K183" s="55">
        <f>IF(H183="","Pending",IF(OR(H183="0",H183="1",H183="2",H183="U"),"Complete","Invalid"))</f>
        <v/>
      </c>
    </row>
    <row r="184" ht="84" customHeight="1">
      <c r="A184" s="43" t="inlineStr">
        <is>
          <t>v2q-016-candidate-04</t>
        </is>
      </c>
      <c r="B184" s="43" t="inlineStr">
        <is>
          <t>v2q-016</t>
        </is>
      </c>
      <c r="C184" s="43" t="inlineStr">
        <is>
          <t>How can an experienced worker obtain formal recognition for skills learned outside a training course?</t>
        </is>
      </c>
      <c r="D184" s="43" t="inlineStr">
        <is>
          <t>PMKVY 4.0 Recognition of Prior Learning assesses, upskills, and certifies candidates who already possess relevant skills or prior-learning experience.</t>
        </is>
      </c>
      <c r="E184" s="43" t="inlineStr">
        <is>
          <t>pilot-v2-doc-pmkvy-sp-0003-738795a9ef96</t>
        </is>
      </c>
      <c r="F184" s="43" t="inlineStr">
        <is>
          <t>Pradhan Mantri Kaushal Vikas Yojana 4.0- Special Projects</t>
        </is>
      </c>
      <c r="G184"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184" s="49" t="inlineStr">
        <is>
          <t>2</t>
        </is>
      </c>
      <c r="I184" s="49" t="str"/>
      <c r="J184" s="55">
        <f>INT((ROW()-2)/50)+1</f>
        <v/>
      </c>
      <c r="K184" s="55">
        <f>IF(H184="","Pending",IF(OR(H184="0",H184="1",H184="2",H184="U"),"Complete","Invalid"))</f>
        <v/>
      </c>
    </row>
    <row r="185" ht="84" customHeight="1">
      <c r="A185" s="43" t="inlineStr">
        <is>
          <t>v2q-034-candidate-01</t>
        </is>
      </c>
      <c r="B185" s="43" t="inlineStr">
        <is>
          <t>v2q-034</t>
        </is>
      </c>
      <c r="C185" s="43" t="inlineStr">
        <is>
          <t>How do three programmes meet distinct household needs for rural housing, clean cooking, and food security?</t>
        </is>
      </c>
      <c r="D185" s="43" t="inlineStr">
        <is>
          <t>PMAY-G supports pucca rural housing with basic amenities; PMUY provides LPG access to deprived households replacing traditional cooking fuels; PMGKAY provides free foodgrains to eligible AAY and PHH ration-card holders.</t>
        </is>
      </c>
      <c r="E185" s="43" t="inlineStr">
        <is>
          <t>pilot-v2-doc-pmay-u-0001-b64fadc4bf6b</t>
        </is>
      </c>
      <c r="F185" s="43" t="inlineStr">
        <is>
          <t>Pradhan Mantri Awas Yojana - Urban</t>
        </is>
      </c>
      <c r="G185"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185" s="49" t="inlineStr">
        <is>
          <t>0</t>
        </is>
      </c>
      <c r="I185" s="49" t="str"/>
      <c r="J185" s="55">
        <f>INT((ROW()-2)/50)+1</f>
        <v/>
      </c>
      <c r="K185" s="55">
        <f>IF(H185="","Pending",IF(OR(H185="0",H185="1",H185="2",H185="U"),"Complete","Invalid"))</f>
        <v/>
      </c>
    </row>
    <row r="186" ht="84" customHeight="1">
      <c r="A186" s="43" t="inlineStr">
        <is>
          <t>v2q-030-candidate-21</t>
        </is>
      </c>
      <c r="B186" s="43" t="inlineStr">
        <is>
          <t>v2q-030</t>
        </is>
      </c>
      <c r="C186" s="43" t="inlineStr">
        <is>
          <t>What retirement benefit does APY offer, and which life-insurance programme administered through the same department covers death from any cause?</t>
        </is>
      </c>
      <c r="D186" s="43" t="inlineStr">
        <is>
          <t>APY offers guaranteed monthly pension options after age 60. PMJJBY, associated with the same Department of Financial Services, provides life cover for death due to any reason.</t>
        </is>
      </c>
      <c r="E186" s="43" t="inlineStr">
        <is>
          <t>pilot-v2-doc-ab-pmjay-0003-1242266bb260</t>
        </is>
      </c>
      <c r="F186" s="43" t="inlineStr">
        <is>
          <t>Ayushman Bharat - Pradhan Mantri Jan Arogya Yojana</t>
        </is>
      </c>
      <c r="G186"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186" s="49" t="inlineStr">
        <is>
          <t>0</t>
        </is>
      </c>
      <c r="I186" s="49" t="str"/>
      <c r="J186" s="55">
        <f>INT((ROW()-2)/50)+1</f>
        <v/>
      </c>
      <c r="K186" s="55">
        <f>IF(H186="","Pending",IF(OR(H186="0",H186="1",H186="2",H186="U"),"Complete","Invalid"))</f>
        <v/>
      </c>
    </row>
    <row r="187" ht="84" customHeight="1">
      <c r="A187" s="43" t="inlineStr">
        <is>
          <t>v2q-009-candidate-11</t>
        </is>
      </c>
      <c r="B187" s="43" t="inlineStr">
        <is>
          <t>v2q-009</t>
        </is>
      </c>
      <c r="C187" s="43" t="inlineStr">
        <is>
          <t>What does APY stand for, and what monthly pension range does it guarantee after age 60?</t>
        </is>
      </c>
      <c r="D187" s="43" t="inlineStr">
        <is>
          <t>APY stands for Atal Pension Yojana and offers guaranteed monthly pension options from ₹1,000 to ₹5,000 after age 60.</t>
        </is>
      </c>
      <c r="E187" s="43" t="inlineStr">
        <is>
          <t>pilot-v2-doc-pm-kmy-guidelines-0005-1b88dfec836a</t>
        </is>
      </c>
      <c r="F187" s="43" t="inlineStr">
        <is>
          <t>Pradhan Mantri Kisan Maan Dhan Yojana Operational Guidelines</t>
        </is>
      </c>
      <c r="G187" s="43" t="inlineStr">
        <is>
          <t>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 which their
       PM-Kisan benefits are credited, so that their contributions are automatically paid;
 (vi) The eligible SMFs who are not beneficiaries of PM-Kisan or who have not given
       consent  to  allow payment from  the  benefit  of PM-Kisan  shall  submit an
       enrolment-cum-auto-debit mandate form for giving their consent to auto-debit a
       bank account which is normally used by them for bank transactions;
 (vii) The Central Government through the Department of Agriculture Cooperation and
       Farmers Welfare shall also contribute an equal amount as contributed by the
         eligible subscriber, to the pension Fund. Account of such co-contributions shall be
       maintained separately by the LIC and these co-contributions along with fund
        earnings from time to time shall be utilized for pension payment on the date of
        vesting. Co-contributions would not be paid to subscribers in case of pre-mature
         exits. In such a case, the co-contributions along with fund earnings  will be
        transferred back to Pension Fund.
 (viii) The State  / UT Governments  will have the option of sharing the burden of
         individual SMF beneficiary’s contribution.
 (ix) The monthly contributions will fall due on the 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t>
        </is>
      </c>
      <c r="H187" s="49" t="inlineStr">
        <is>
          <t>0</t>
        </is>
      </c>
      <c r="I187" s="49" t="str"/>
      <c r="J187" s="55">
        <f>INT((ROW()-2)/50)+1</f>
        <v/>
      </c>
      <c r="K187" s="55">
        <f>IF(H187="","Pending",IF(OR(H187="0",H187="1",H187="2",H187="U"),"Complete","Invalid"))</f>
        <v/>
      </c>
    </row>
    <row r="188" ht="84" customHeight="1">
      <c r="A188" s="43" t="inlineStr">
        <is>
          <t>v2q-002-candidate-10</t>
        </is>
      </c>
      <c r="B188" s="43" t="inlineStr">
        <is>
          <t>v2q-002</t>
        </is>
      </c>
      <c r="C188" s="43" t="inlineStr">
        <is>
          <t>What maximum premium rates can farmers pay under PMFBY for Kharif, Rabi, and annual commercial or horticultural crops?</t>
        </is>
      </c>
      <c r="D188" s="43" t="inlineStr">
        <is>
          <t>Farmers pay at most 2% for Kharif food and oilseed crops, 1.5% for Rabi food and oilseed crops, and 5% for annual commercial or horticultural crops.</t>
        </is>
      </c>
      <c r="E188" s="43" t="inlineStr">
        <is>
          <t>pilot-v2-doc-pmfby-0001-4270154049cc</t>
        </is>
      </c>
      <c r="F188" s="43" t="inlineStr">
        <is>
          <t>Pradhan Mantri Fasal Bima Yojna (PMFBY)</t>
        </is>
      </c>
      <c r="G188"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188" s="49" t="inlineStr">
        <is>
          <t>1</t>
        </is>
      </c>
      <c r="I188" s="49" t="str"/>
      <c r="J188" s="55">
        <f>INT((ROW()-2)/50)+1</f>
        <v/>
      </c>
      <c r="K188" s="55">
        <f>IF(H188="","Pending",IF(OR(H188="0",H188="1",H188="2",H188="U"),"Complete","Invalid"))</f>
        <v/>
      </c>
    </row>
    <row r="189" ht="84" customHeight="1">
      <c r="A189" s="43" t="inlineStr">
        <is>
          <t>v2q-031-candidate-06</t>
        </is>
      </c>
      <c r="B189" s="43" t="inlineStr">
        <is>
          <t>v2q-031</t>
        </is>
      </c>
      <c r="C189" s="43" t="inlineStr">
        <is>
          <t>How do three finance-sector programmes combine basic banking, life insurance, and accident insurance?</t>
        </is>
      </c>
      <c r="D189" s="43" t="inlineStr">
        <is>
          <t>PMJDY provides universal banking and access to financial services; PMJJBY supplies life cover for death from any cause; PMSBY supplies accidental-death and disability cover.</t>
        </is>
      </c>
      <c r="E189" s="43" t="inlineStr">
        <is>
          <t>pilot-v2-doc-pm-kmy-guidelines-0001-5d83566dbb68</t>
        </is>
      </c>
      <c r="F189" s="43" t="inlineStr">
        <is>
          <t>Pradhan Mantri Kisan Maan Dhan Yojana Operational Guidelines</t>
        </is>
      </c>
      <c r="G189"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189" s="49" t="inlineStr">
        <is>
          <t>0</t>
        </is>
      </c>
      <c r="I189" s="49" t="str"/>
      <c r="J189" s="55">
        <f>INT((ROW()-2)/50)+1</f>
        <v/>
      </c>
      <c r="K189" s="55">
        <f>IF(H189="","Pending",IF(OR(H189="0",H189="1",H189="2",H189="U"),"Complete","Invalid"))</f>
        <v/>
      </c>
    </row>
    <row r="190" ht="84" customHeight="1">
      <c r="A190" s="43" t="inlineStr">
        <is>
          <t>v2q-017-candidate-03</t>
        </is>
      </c>
      <c r="B190" s="43" t="inlineStr">
        <is>
          <t>v2q-017</t>
        </is>
      </c>
      <c r="C190" s="43" t="inlineStr">
        <is>
          <t>Which training route serves people no longer in education or work who need an initial occupational skill?</t>
        </is>
      </c>
      <c r="D190" s="43" t="inlineStr">
        <is>
          <t>PMKVY 4.0 Short-Term Training provides fresh skilling, reskilling, or upskilling for groups including school or college dropouts and unemployed youth.</t>
        </is>
      </c>
      <c r="E190" s="43" t="inlineStr">
        <is>
          <t>pilot-v2-doc-ab-pmjay-0002-58c80bb24a6c</t>
        </is>
      </c>
      <c r="F190" s="43" t="inlineStr">
        <is>
          <t>Ayushman Bharat - Pradhan Mantri Jan Arogya Yojana</t>
        </is>
      </c>
      <c r="G190"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190" s="49" t="inlineStr">
        <is>
          <t>0</t>
        </is>
      </c>
      <c r="I190" s="49" t="str"/>
      <c r="J190" s="55">
        <f>INT((ROW()-2)/50)+1</f>
        <v/>
      </c>
      <c r="K190" s="55">
        <f>IF(H190="","Pending",IF(OR(H190="0",H190="1",H190="2",H190="U"),"Complete","Invalid"))</f>
        <v/>
      </c>
    </row>
    <row r="191" ht="84" customHeight="1">
      <c r="A191" s="43" t="inlineStr">
        <is>
          <t>v2q-009-candidate-23</t>
        </is>
      </c>
      <c r="B191" s="43" t="inlineStr">
        <is>
          <t>v2q-009</t>
        </is>
      </c>
      <c r="C191" s="43" t="inlineStr">
        <is>
          <t>What does APY stand for, and what monthly pension range does it guarantee after age 60?</t>
        </is>
      </c>
      <c r="D191" s="43" t="inlineStr">
        <is>
          <t>APY stands for Atal Pension Yojana and offers guaranteed monthly pension options from ₹1,000 to ₹5,000 after age 60.</t>
        </is>
      </c>
      <c r="E191" s="43" t="inlineStr">
        <is>
          <t>pilot-v2-doc-ab-pmjay-0001-a632a7205efc</t>
        </is>
      </c>
      <c r="F191" s="43" t="inlineStr">
        <is>
          <t>Ayushman Bharat - Pradhan Mantri Jan Arogya Yojana</t>
        </is>
      </c>
      <c r="G191"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191" s="49" t="inlineStr">
        <is>
          <t>0</t>
        </is>
      </c>
      <c r="I191" s="49" t="str"/>
      <c r="J191" s="55">
        <f>INT((ROW()-2)/50)+1</f>
        <v/>
      </c>
      <c r="K191" s="55">
        <f>IF(H191="","Pending",IF(OR(H191="0",H191="1",H191="2",H191="U"),"Complete","Invalid"))</f>
        <v/>
      </c>
    </row>
    <row r="192" ht="84" customHeight="1">
      <c r="A192" s="43" t="inlineStr">
        <is>
          <t>v2q-007-candidate-01</t>
        </is>
      </c>
      <c r="B192" s="43" t="inlineStr">
        <is>
          <t>v2q-007</t>
        </is>
      </c>
      <c r="C192" s="43" t="inlineStr">
        <is>
          <t>What is the full form of PMJJBY, and which event does its life insurance cover?</t>
        </is>
      </c>
      <c r="D192" s="43" t="inlineStr">
        <is>
          <t>PMJJBY stands for Pradhan Mantri Jeevan Jyoti Bima Yojana and provides life-insurance cover for death due to any reason.</t>
        </is>
      </c>
      <c r="E192" s="43" t="inlineStr">
        <is>
          <t>pilot-v2-doc-pmfby-0001-4270154049cc</t>
        </is>
      </c>
      <c r="F192" s="43" t="inlineStr">
        <is>
          <t>Pradhan Mantri Fasal Bima Yojna (PMFBY)</t>
        </is>
      </c>
      <c r="G192"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192" s="49" t="inlineStr">
        <is>
          <t>0</t>
        </is>
      </c>
      <c r="I192" s="49" t="str"/>
      <c r="J192" s="55">
        <f>INT((ROW()-2)/50)+1</f>
        <v/>
      </c>
      <c r="K192" s="55">
        <f>IF(H192="","Pending",IF(OR(H192="0",H192="1",H192="2",H192="U"),"Complete","Invalid"))</f>
        <v/>
      </c>
    </row>
    <row r="193" ht="84" customHeight="1">
      <c r="A193" s="43" t="inlineStr">
        <is>
          <t>v2q-027-candidate-16</t>
        </is>
      </c>
      <c r="B193" s="43" t="inlineStr">
        <is>
          <t>v2q-027</t>
        </is>
      </c>
      <c r="C193" s="43" t="inlineStr">
        <is>
          <t>What livelihood mechanism does PM SVANidhi offer street vendors, and which other programme from its ministry addresses housing shortages for eligible urban households?</t>
        </is>
      </c>
      <c r="D193" s="43" t="inlineStr">
        <is>
          <t>PM SVANidhi offers street vendors collateral-free working-capital loans, interest subsidy, and digital-payment incentives. PMAY-U, under the same Ministry of Housing and Urban Affairs, provides housing support for eligible urban households.</t>
        </is>
      </c>
      <c r="E193" s="43" t="inlineStr">
        <is>
          <t>pilot-v2-doc-pm-kmy-guidelines-0000-0582a8323d67</t>
        </is>
      </c>
      <c r="F193" s="43" t="inlineStr">
        <is>
          <t>Pradhan Mantri Kisan Maan Dhan Yojana Operational Guidelines</t>
        </is>
      </c>
      <c r="G193"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193" s="49" t="inlineStr">
        <is>
          <t>0</t>
        </is>
      </c>
      <c r="I193" s="49" t="str"/>
      <c r="J193" s="55">
        <f>INT((ROW()-2)/50)+1</f>
        <v/>
      </c>
      <c r="K193" s="55">
        <f>IF(H193="","Pending",IF(OR(H193="0",H193="1",H193="2",H193="U"),"Complete","Invalid"))</f>
        <v/>
      </c>
    </row>
    <row r="194" ht="84" customHeight="1">
      <c r="A194" s="43" t="inlineStr">
        <is>
          <t>v2q-012-candidate-04</t>
        </is>
      </c>
      <c r="B194" s="43" t="inlineStr">
        <is>
          <t>v2q-012</t>
        </is>
      </c>
      <c r="C194" s="43" t="inlineStr">
        <is>
          <t>What does PM SVANidhi stand for, and who is its intended beneficiary group?</t>
        </is>
      </c>
      <c r="D194" s="43" t="inlineStr">
        <is>
          <t>PM SVANidhi stands for PM Street Vendor’s AtmaNirbhar Nidhi and supports street vendors through working-capital and related incentives.</t>
        </is>
      </c>
      <c r="E194" s="43" t="inlineStr">
        <is>
          <t>pilot-v2-doc-ab-pmjay-0003-1242266bb260</t>
        </is>
      </c>
      <c r="F194" s="43" t="inlineStr">
        <is>
          <t>Ayushman Bharat - Pradhan Mantri Jan Arogya Yojana</t>
        </is>
      </c>
      <c r="G194"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194" s="49" t="inlineStr">
        <is>
          <t>0</t>
        </is>
      </c>
      <c r="I194" s="49" t="str"/>
      <c r="J194" s="55">
        <f>INT((ROW()-2)/50)+1</f>
        <v/>
      </c>
      <c r="K194" s="55">
        <f>IF(H194="","Pending",IF(OR(H194="0",H194="1",H194="2",H194="U"),"Complete","Invalid"))</f>
        <v/>
      </c>
    </row>
    <row r="195" ht="84" customHeight="1">
      <c r="A195" s="43" t="inlineStr">
        <is>
          <t>v2q-020-candidate-16</t>
        </is>
      </c>
      <c r="B195" s="43" t="inlineStr">
        <is>
          <t>v2q-020</t>
        </is>
      </c>
      <c r="C195" s="43" t="inlineStr">
        <is>
          <t>How do NSDC and SPIAs divide responsibility in the Special Projects arm of the national skill mission?</t>
        </is>
      </c>
      <c r="D195" s="43" t="inlineStr">
        <is>
          <t>NSDC supports the ministry’s implementation, while Special Projects Implementing Agencies deliver the projects on the ground.</t>
        </is>
      </c>
      <c r="E195" s="43" t="inlineStr">
        <is>
          <t>pilot-v2-doc-ab-pmjay-0001-a632a7205efc</t>
        </is>
      </c>
      <c r="F195" s="43" t="inlineStr">
        <is>
          <t>Ayushman Bharat - Pradhan Mantri Jan Arogya Yojana</t>
        </is>
      </c>
      <c r="G195"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195" s="49" t="inlineStr">
        <is>
          <t>0</t>
        </is>
      </c>
      <c r="I195" s="49" t="str"/>
      <c r="J195" s="55">
        <f>INT((ROW()-2)/50)+1</f>
        <v/>
      </c>
      <c r="K195" s="55">
        <f>IF(H195="","Pending",IF(OR(H195="0",H195="1",H195="2",H195="U"),"Complete","Invalid"))</f>
        <v/>
      </c>
    </row>
    <row r="196" ht="84" customHeight="1">
      <c r="A196" s="43" t="inlineStr">
        <is>
          <t>v2q-003-candidate-16</t>
        </is>
      </c>
      <c r="B196" s="43" t="inlineStr">
        <is>
          <t>v2q-003</t>
        </is>
      </c>
      <c r="C196" s="43" t="inlineStr">
        <is>
          <t>What revised overdraft limit and RuPay accidental-insurance cover are stated for PMJDY?</t>
        </is>
      </c>
      <c r="D196" s="43" t="inlineStr">
        <is>
          <t>PMJDY states a revised overdraft limit of ₹10,000 and accidental-insurance cover of ₹2 lakh for RuPay cardholders.</t>
        </is>
      </c>
      <c r="E196" s="43" t="inlineStr">
        <is>
          <t>pilot-v2-doc-pm-gkay-0000-c29b96f46a80</t>
        </is>
      </c>
      <c r="F196" s="43" t="inlineStr">
        <is>
          <t>Pradhan Mantri Garib Kalyan Anna Yojana</t>
        </is>
      </c>
      <c r="G196"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196" s="49" t="inlineStr">
        <is>
          <t>0</t>
        </is>
      </c>
      <c r="I196" s="49" t="str"/>
      <c r="J196" s="55">
        <f>INT((ROW()-2)/50)+1</f>
        <v/>
      </c>
      <c r="K196" s="55">
        <f>IF(H196="","Pending",IF(OR(H196="0",H196="1",H196="2",H196="U"),"Complete","Invalid"))</f>
        <v/>
      </c>
    </row>
    <row r="197" ht="84" customHeight="1">
      <c r="A197" s="43" t="inlineStr">
        <is>
          <t>v2q-006-candidate-26</t>
        </is>
      </c>
      <c r="B197" s="43" t="inlineStr">
        <is>
          <t>v2q-006</t>
        </is>
      </c>
      <c r="C197" s="43" t="inlineStr">
        <is>
          <t>What annual hospitalisation cover does AB-PMJAY provide per eligible family?</t>
        </is>
      </c>
      <c r="D197" s="43" t="inlineStr">
        <is>
          <t>AB-PMJAY provides cashless hospitalisation cover of ₹5 lakh per family per year for secondary and tertiary healthcare.</t>
        </is>
      </c>
      <c r="E197" s="43" t="inlineStr">
        <is>
          <t>pilot-v2-doc-pm-gkay-0001-ccd31e120258</t>
        </is>
      </c>
      <c r="F197" s="43" t="inlineStr">
        <is>
          <t>Pradhan Mantri Garib Kalyan Anna Yojana</t>
        </is>
      </c>
      <c r="G197"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197" s="49" t="inlineStr">
        <is>
          <t>0</t>
        </is>
      </c>
      <c r="I197" s="49" t="str"/>
      <c r="J197" s="55">
        <f>INT((ROW()-2)/50)+1</f>
        <v/>
      </c>
      <c r="K197" s="55">
        <f>IF(H197="","Pending",IF(OR(H197="0",H197="1",H197="2",H197="U"),"Complete","Invalid"))</f>
        <v/>
      </c>
    </row>
    <row r="198" ht="84" customHeight="1">
      <c r="A198" s="43" t="inlineStr">
        <is>
          <t>v2q-031-candidate-04</t>
        </is>
      </c>
      <c r="B198" s="43" t="inlineStr">
        <is>
          <t>v2q-031</t>
        </is>
      </c>
      <c r="C198" s="43" t="inlineStr">
        <is>
          <t>How do three finance-sector programmes combine basic banking, life insurance, and accident insurance?</t>
        </is>
      </c>
      <c r="D198" s="43" t="inlineStr">
        <is>
          <t>PMJDY provides universal banking and access to financial services; PMJJBY supplies life cover for death from any cause; PMSBY supplies accidental-death and disability cover.</t>
        </is>
      </c>
      <c r="E198" s="43" t="inlineStr">
        <is>
          <t>pilot-v2-doc-pmay-u-0000-0b5e95b2690a</t>
        </is>
      </c>
      <c r="F198" s="43" t="inlineStr">
        <is>
          <t>Pradhan Mantri Awas Yojana - Urban</t>
        </is>
      </c>
      <c r="G198"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198" s="49" t="inlineStr">
        <is>
          <t>0</t>
        </is>
      </c>
      <c r="I198" s="49" t="str"/>
      <c r="J198" s="55">
        <f>INT((ROW()-2)/50)+1</f>
        <v/>
      </c>
      <c r="K198" s="55">
        <f>IF(H198="","Pending",IF(OR(H198="0",H198="1",H198="2",H198="U"),"Complete","Invalid"))</f>
        <v/>
      </c>
    </row>
    <row r="199" ht="84" customHeight="1">
      <c r="A199" s="43" t="inlineStr">
        <is>
          <t>v2q-015-candidate-05</t>
        </is>
      </c>
      <c r="B199" s="43" t="inlineStr">
        <is>
          <t>v2q-015</t>
        </is>
      </c>
      <c r="C199" s="43" t="inlineStr">
        <is>
          <t>Which initiative helps job-seekers and established craftspeople launch small businesses outside agriculture?</t>
        </is>
      </c>
      <c r="D199" s="43" t="inlineStr">
        <is>
          <t>The Prime Minister's Employment Generation Programme supports new micro-enterprises to create self-employment for traditional artisans, unemployed youth, and other eligible beneficiaries.</t>
        </is>
      </c>
      <c r="E199" s="43" t="inlineStr">
        <is>
          <t>pilot-v2-doc-pmfby-0000-d9ad07736d66</t>
        </is>
      </c>
      <c r="F199" s="43" t="inlineStr">
        <is>
          <t>Pradhan Mantri Fasal Bima Yojna (PMFBY)</t>
        </is>
      </c>
      <c r="G199"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199" s="49" t="inlineStr">
        <is>
          <t>0</t>
        </is>
      </c>
      <c r="I199" s="49" t="str"/>
      <c r="J199" s="55">
        <f>INT((ROW()-2)/50)+1</f>
        <v/>
      </c>
      <c r="K199" s="55">
        <f>IF(H199="","Pending",IF(OR(H199="0",H199="1",H199="2",H199="U"),"Complete","Invalid"))</f>
        <v/>
      </c>
    </row>
    <row r="200" ht="84" customHeight="1">
      <c r="A200" s="43" t="inlineStr">
        <is>
          <t>v2q-012-candidate-13</t>
        </is>
      </c>
      <c r="B200" s="43" t="inlineStr">
        <is>
          <t>v2q-012</t>
        </is>
      </c>
      <c r="C200" s="43" t="inlineStr">
        <is>
          <t>What does PM SVANidhi stand for, and who is its intended beneficiary group?</t>
        </is>
      </c>
      <c r="D200" s="43" t="inlineStr">
        <is>
          <t>PM SVANidhi stands for PM Street Vendor’s AtmaNirbhar Nidhi and supports street vendors through working-capital and related incentives.</t>
        </is>
      </c>
      <c r="E200" s="43" t="inlineStr">
        <is>
          <t>pilot-v2-doc-pm-janman-0002-d0844e3327b6</t>
        </is>
      </c>
      <c r="F200" s="43" t="inlineStr">
        <is>
          <t>PM Janjati Adivasi Nyaya Maha Abhiyan (PM JANMAN)</t>
        </is>
      </c>
      <c r="G200"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200" s="49" t="inlineStr">
        <is>
          <t>0</t>
        </is>
      </c>
      <c r="I200" s="49" t="str"/>
      <c r="J200" s="55">
        <f>INT((ROW()-2)/50)+1</f>
        <v/>
      </c>
      <c r="K200" s="55">
        <f>IF(H200="","Pending",IF(OR(H200="0",H200="1",H200="2",H200="U"),"Complete","Invalid"))</f>
        <v/>
      </c>
    </row>
    <row r="201" ht="84" customHeight="1">
      <c r="A201" s="43" t="inlineStr">
        <is>
          <t>v2q-021-candidate-17</t>
        </is>
      </c>
      <c r="B201" s="43" t="inlineStr">
        <is>
          <t>v2q-021</t>
        </is>
      </c>
      <c r="C201" s="43" t="inlineStr">
        <is>
          <t>How do insurance companies and banks participate in PMFBY?</t>
        </is>
      </c>
      <c r="D201" s="43" t="inlineStr">
        <is>
          <t>PMFBY is implemented through a network of insurance companies and banks to provide crop-insurance protection to farmers.</t>
        </is>
      </c>
      <c r="E201" s="43" t="inlineStr">
        <is>
          <t>pilot-v2-doc-pm-kisan-guidelines-0000-bbe94f08550e</t>
        </is>
      </c>
      <c r="F201" s="43" t="inlineStr">
        <is>
          <t>PM-KISAN Operational Guidelines</t>
        </is>
      </c>
      <c r="G201"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201" s="49" t="inlineStr">
        <is>
          <t>0</t>
        </is>
      </c>
      <c r="I201" s="49" t="str"/>
      <c r="J201" s="55">
        <f>INT((ROW()-2)/50)+1</f>
        <v/>
      </c>
      <c r="K201" s="55">
        <f>IF(H201="","Pending",IF(OR(H201="0",H201="1",H201="2",H201="U"),"Complete","Invalid"))</f>
        <v/>
      </c>
    </row>
    <row r="202" ht="84" customHeight="1">
      <c r="A202" s="43" t="inlineStr">
        <is>
          <t>v2q-003-candidate-02</t>
        </is>
      </c>
      <c r="B202" s="43" t="inlineStr">
        <is>
          <t>v2q-003</t>
        </is>
      </c>
      <c r="C202" s="43" t="inlineStr">
        <is>
          <t>What revised overdraft limit and RuPay accidental-insurance cover are stated for PMJDY?</t>
        </is>
      </c>
      <c r="D202" s="43" t="inlineStr">
        <is>
          <t>PMJDY states a revised overdraft limit of ₹10,000 and accidental-insurance cover of ₹2 lakh for RuPay cardholders.</t>
        </is>
      </c>
      <c r="E202" s="43" t="inlineStr">
        <is>
          <t>pilot-v2-doc-pmjdy-0002-8b8c40538d6e</t>
        </is>
      </c>
      <c r="F202" s="43" t="inlineStr">
        <is>
          <t>Pradhan Mantri Jan Dhan Yojana</t>
        </is>
      </c>
      <c r="G202" s="43" t="inlineStr">
        <is>
          <t>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 you will find live links for &amp;quot;Account Opening Form&amp;quot;.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is>
      </c>
      <c r="H202" s="49" t="inlineStr">
        <is>
          <t>1</t>
        </is>
      </c>
      <c r="I202" s="49" t="str"/>
      <c r="J202" s="55">
        <f>INT((ROW()-2)/50)+1</f>
        <v/>
      </c>
      <c r="K202" s="55">
        <f>IF(H202="","Pending",IF(OR(H202="0",H202="1",H202="2",H202="U"),"Complete","Invalid"))</f>
        <v/>
      </c>
    </row>
    <row r="203" ht="84" customHeight="1">
      <c r="A203" s="43" t="inlineStr">
        <is>
          <t>v2q-020-candidate-24</t>
        </is>
      </c>
      <c r="B203" s="43" t="inlineStr">
        <is>
          <t>v2q-020</t>
        </is>
      </c>
      <c r="C203" s="43" t="inlineStr">
        <is>
          <t>How do NSDC and SPIAs divide responsibility in the Special Projects arm of the national skill mission?</t>
        </is>
      </c>
      <c r="D203" s="43" t="inlineStr">
        <is>
          <t>NSDC supports the ministry’s implementation, while Special Projects Implementing Agencies deliver the projects on the ground.</t>
        </is>
      </c>
      <c r="E203" s="43" t="inlineStr">
        <is>
          <t>pilot-v2-doc-apy-0001-add48d27a4a2</t>
        </is>
      </c>
      <c r="F203" s="43" t="inlineStr">
        <is>
          <t>Atal Pension Yojana</t>
        </is>
      </c>
      <c r="G203"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203" s="49" t="inlineStr">
        <is>
          <t>0</t>
        </is>
      </c>
      <c r="I203" s="49" t="str"/>
      <c r="J203" s="55">
        <f>INT((ROW()-2)/50)+1</f>
        <v/>
      </c>
      <c r="K203" s="55">
        <f>IF(H203="","Pending",IF(OR(H203="0",H203="1",H203="2",H203="U"),"Complete","Invalid"))</f>
        <v/>
      </c>
    </row>
    <row r="204" ht="84" customHeight="1">
      <c r="A204" s="43" t="inlineStr">
        <is>
          <t>v2q-006-candidate-02</t>
        </is>
      </c>
      <c r="B204" s="43" t="inlineStr">
        <is>
          <t>v2q-006</t>
        </is>
      </c>
      <c r="C204" s="43" t="inlineStr">
        <is>
          <t>What annual hospitalisation cover does AB-PMJAY provide per eligible family?</t>
        </is>
      </c>
      <c r="D204" s="43" t="inlineStr">
        <is>
          <t>AB-PMJAY provides cashless hospitalisation cover of ₹5 lakh per family per year for secondary and tertiary healthcare.</t>
        </is>
      </c>
      <c r="E204" s="43" t="inlineStr">
        <is>
          <t>pilot-v2-doc-ab-pmjay-0000-94c82a474579</t>
        </is>
      </c>
      <c r="F204" s="43" t="inlineStr">
        <is>
          <t>Ayushman Bharat - Pradhan Mantri Jan Arogya Yojana</t>
        </is>
      </c>
      <c r="G204"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204" s="49" t="inlineStr">
        <is>
          <t>2</t>
        </is>
      </c>
      <c r="I204" s="49" t="str"/>
      <c r="J204" s="55">
        <f>INT((ROW()-2)/50)+1</f>
        <v/>
      </c>
      <c r="K204" s="55">
        <f>IF(H204="","Pending",IF(OR(H204="0",H204="1",H204="2",H204="U"),"Complete","Invalid"))</f>
        <v/>
      </c>
    </row>
    <row r="205" ht="84" customHeight="1">
      <c r="A205" s="43" t="inlineStr">
        <is>
          <t>v2q-022-candidate-14</t>
        </is>
      </c>
      <c r="B205" s="43" t="inlineStr">
        <is>
          <t>v2q-022</t>
        </is>
      </c>
      <c r="C205" s="43" t="inlineStr">
        <is>
          <t>Which finance programme relies on Member Lending Institutions to extend assistance to non-corporate micro-enterprises?</t>
        </is>
      </c>
      <c r="D205" s="43" t="inlineStr">
        <is>
          <t>Eligible Member Lending Institutions extend PMMY financial assistance and provide the scheme’s micro-loans to qualifying micro and small enterprises.</t>
        </is>
      </c>
      <c r="E205" s="43" t="inlineStr">
        <is>
          <t>pilot-v2-doc-pmsby-0000-0f297846df39</t>
        </is>
      </c>
      <c r="F205" s="43" t="inlineStr">
        <is>
          <t>Pradhan Mantri Suraksha Bima Yojana</t>
        </is>
      </c>
      <c r="G205"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205" s="49" t="inlineStr">
        <is>
          <t>0</t>
        </is>
      </c>
      <c r="I205" s="49" t="str"/>
      <c r="J205" s="55">
        <f>INT((ROW()-2)/50)+1</f>
        <v/>
      </c>
      <c r="K205" s="55">
        <f>IF(H205="","Pending",IF(OR(H205="0",H205="1",H205="2",H205="U"),"Complete","Invalid"))</f>
        <v/>
      </c>
    </row>
    <row r="206" ht="84" customHeight="1">
      <c r="A206" s="43" t="inlineStr">
        <is>
          <t>v2q-002-candidate-09</t>
        </is>
      </c>
      <c r="B206" s="43" t="inlineStr">
        <is>
          <t>v2q-002</t>
        </is>
      </c>
      <c r="C206" s="43" t="inlineStr">
        <is>
          <t>What maximum premium rates can farmers pay under PMFBY for Kharif, Rabi, and annual commercial or horticultural crops?</t>
        </is>
      </c>
      <c r="D206" s="43" t="inlineStr">
        <is>
          <t>Farmers pay at most 2% for Kharif food and oilseed crops, 1.5% for Rabi food and oilseed crops, and 5% for annual commercial or horticultural crops.</t>
        </is>
      </c>
      <c r="E206" s="43" t="inlineStr">
        <is>
          <t>pilot-v2-doc-pmkvy-stt-0001-ea2787dec4e8</t>
        </is>
      </c>
      <c r="F206" s="43" t="inlineStr">
        <is>
          <t>Pradhan Mantri Kaushal Vikas Yojana 4.0 - Short-Term Training</t>
        </is>
      </c>
      <c r="G206"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206" s="49" t="inlineStr">
        <is>
          <t>0</t>
        </is>
      </c>
      <c r="I206" s="49" t="str"/>
      <c r="J206" s="55">
        <f>INT((ROW()-2)/50)+1</f>
        <v/>
      </c>
      <c r="K206" s="55">
        <f>IF(H206="","Pending",IF(OR(H206="0",H206="1",H206="2",H206="U"),"Complete","Invalid"))</f>
        <v/>
      </c>
    </row>
    <row r="207" ht="84" customHeight="1">
      <c r="A207" s="43" t="inlineStr">
        <is>
          <t>v2q-014-candidate-23</t>
        </is>
      </c>
      <c r="B207" s="43" t="inlineStr">
        <is>
          <t>v2q-014</t>
        </is>
      </c>
      <c r="C207" s="43" t="inlineStr">
        <is>
          <t>Under the national ration programme, what monthly cereal allocation goes to families in the poorest entitlement tier and to each person in the priority tier?</t>
        </is>
      </c>
      <c r="D207" s="43" t="inlineStr">
        <is>
          <t>AAY families receive 35 kilograms per family per month, while PHH beneficiaries receive 5 kilograms per person per month.</t>
        </is>
      </c>
      <c r="E207" s="43" t="inlineStr">
        <is>
          <t>pilot-v2-doc-apy-0001-add48d27a4a2</t>
        </is>
      </c>
      <c r="F207" s="43" t="inlineStr">
        <is>
          <t>Atal Pension Yojana</t>
        </is>
      </c>
      <c r="G207"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207" s="49" t="inlineStr">
        <is>
          <t>0</t>
        </is>
      </c>
      <c r="I207" s="49" t="str"/>
      <c r="J207" s="55">
        <f>INT((ROW()-2)/50)+1</f>
        <v/>
      </c>
      <c r="K207" s="55">
        <f>IF(H207="","Pending",IF(OR(H207="0",H207="1",H207="2",H207="U"),"Complete","Invalid"))</f>
        <v/>
      </c>
    </row>
    <row r="208" ht="84" customHeight="1">
      <c r="A208" s="43" t="inlineStr">
        <is>
          <t>v2q-013-candidate-05</t>
        </is>
      </c>
      <c r="B208" s="43" t="inlineStr">
        <is>
          <t>v2q-013</t>
        </is>
      </c>
      <c r="C208" s="43" t="inlineStr">
        <is>
          <t>Which initiative helps women in low-income countryside homes replace smoke-producing solid cooking materials with bottled gas?</t>
        </is>
      </c>
      <c r="D208" s="43" t="inlineStr">
        <is>
          <t>Pradhan Mantri Ujjwala Yojana provides LPG access to rural and deprived households that previously relied on traditional cooking fuels.</t>
        </is>
      </c>
      <c r="E208" s="43" t="inlineStr">
        <is>
          <t>pilot-v2-doc-pmay-g-0005-c6e2fcfefcd0</t>
        </is>
      </c>
      <c r="F208" s="43" t="inlineStr">
        <is>
          <t>Pradhan Mantri Awaas Yojana - Gramin</t>
        </is>
      </c>
      <c r="G208" s="43" t="inlineStr">
        <is>
          <t>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is>
      </c>
      <c r="H208" s="49" t="inlineStr">
        <is>
          <t>1</t>
        </is>
      </c>
      <c r="I208" s="49" t="str"/>
      <c r="J208" s="55">
        <f>INT((ROW()-2)/50)+1</f>
        <v/>
      </c>
      <c r="K208" s="55">
        <f>IF(H208="","Pending",IF(OR(H208="0",H208="1",H208="2",H208="U"),"Complete","Invalid"))</f>
        <v/>
      </c>
    </row>
    <row r="209" ht="84" customHeight="1">
      <c r="A209" s="43" t="inlineStr">
        <is>
          <t>v2q-009-candidate-05</t>
        </is>
      </c>
      <c r="B209" s="43" t="inlineStr">
        <is>
          <t>v2q-009</t>
        </is>
      </c>
      <c r="C209" s="43" t="inlineStr">
        <is>
          <t>What does APY stand for, and what monthly pension range does it guarantee after age 60?</t>
        </is>
      </c>
      <c r="D209" s="43" t="inlineStr">
        <is>
          <t>APY stands for Atal Pension Yojana and offers guaranteed monthly pension options from ₹1,000 to ₹5,000 after age 60.</t>
        </is>
      </c>
      <c r="E209" s="43" t="inlineStr">
        <is>
          <t>pilot-v2-doc-pmsby-0000-0f297846df39</t>
        </is>
      </c>
      <c r="F209" s="43" t="inlineStr">
        <is>
          <t>Pradhan Mantri Suraksha Bima Yojana</t>
        </is>
      </c>
      <c r="G209"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209" s="49" t="inlineStr">
        <is>
          <t>0</t>
        </is>
      </c>
      <c r="I209" s="49" t="str"/>
      <c r="J209" s="55">
        <f>INT((ROW()-2)/50)+1</f>
        <v/>
      </c>
      <c r="K209" s="55">
        <f>IF(H209="","Pending",IF(OR(H209="0",H209="1",H209="2",H209="U"),"Complete","Invalid"))</f>
        <v/>
      </c>
    </row>
    <row r="210" ht="84" customHeight="1">
      <c r="A210" s="43" t="inlineStr">
        <is>
          <t>v2q-012-candidate-24</t>
        </is>
      </c>
      <c r="B210" s="43" t="inlineStr">
        <is>
          <t>v2q-012</t>
        </is>
      </c>
      <c r="C210" s="43" t="inlineStr">
        <is>
          <t>What does PM SVANidhi stand for, and who is its intended beneficiary group?</t>
        </is>
      </c>
      <c r="D210" s="43" t="inlineStr">
        <is>
          <t>PM SVANidhi stands for PM Street Vendor’s AtmaNirbhar Nidhi and supports street vendors through working-capital and related incentives.</t>
        </is>
      </c>
      <c r="E210" s="43" t="inlineStr">
        <is>
          <t>pilot-v2-doc-ab-pmjay-0002-58c80bb24a6c</t>
        </is>
      </c>
      <c r="F210" s="43" t="inlineStr">
        <is>
          <t>Ayushman Bharat - Pradhan Mantri Jan Arogya Yojana</t>
        </is>
      </c>
      <c r="G210"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210" s="49" t="inlineStr">
        <is>
          <t>0</t>
        </is>
      </c>
      <c r="I210" s="49" t="str"/>
      <c r="J210" s="55">
        <f>INT((ROW()-2)/50)+1</f>
        <v/>
      </c>
      <c r="K210" s="55">
        <f>IF(H210="","Pending",IF(OR(H210="0",H210="1",H210="2",H210="U"),"Complete","Invalid"))</f>
        <v/>
      </c>
    </row>
    <row r="211" ht="84" customHeight="1">
      <c r="A211" s="43" t="inlineStr">
        <is>
          <t>v2q-007-candidate-05</t>
        </is>
      </c>
      <c r="B211" s="43" t="inlineStr">
        <is>
          <t>v2q-007</t>
        </is>
      </c>
      <c r="C211" s="43" t="inlineStr">
        <is>
          <t>What is the full form of PMJJBY, and which event does its life insurance cover?</t>
        </is>
      </c>
      <c r="D211" s="43" t="inlineStr">
        <is>
          <t>PMJJBY stands for Pradhan Mantri Jeevan Jyoti Bima Yojana and provides life-insurance cover for death due to any reason.</t>
        </is>
      </c>
      <c r="E211" s="43" t="inlineStr">
        <is>
          <t>pilot-v2-doc-ab-pmjay-0000-94c82a474579</t>
        </is>
      </c>
      <c r="F211" s="43" t="inlineStr">
        <is>
          <t>Ayushman Bharat - Pradhan Mantri Jan Arogya Yojana</t>
        </is>
      </c>
      <c r="G211"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211" s="49" t="inlineStr">
        <is>
          <t>0</t>
        </is>
      </c>
      <c r="I211" s="49" t="str"/>
      <c r="J211" s="55">
        <f>INT((ROW()-2)/50)+1</f>
        <v/>
      </c>
      <c r="K211" s="55">
        <f>IF(H211="","Pending",IF(OR(H211="0",H211="1",H211="2",H211="U"),"Complete","Invalid"))</f>
        <v/>
      </c>
    </row>
    <row r="212" ht="84" customHeight="1">
      <c r="A212" s="43" t="inlineStr">
        <is>
          <t>v2q-018-candidate-03</t>
        </is>
      </c>
      <c r="B212" s="43" t="inlineStr">
        <is>
          <t>v2q-018</t>
        </is>
      </c>
      <c r="C212" s="43" t="inlineStr">
        <is>
          <t>Which initiative helps city households across officially defined lower and middle income bands obtain permanent homes?</t>
        </is>
      </c>
      <c r="D212" s="43" t="inlineStr">
        <is>
          <t>Pradhan Mantri Awas Yojana–Urban addresses urban housing shortages and supports eligible EWS, LIG, and MIG households, including slum dwellers.</t>
        </is>
      </c>
      <c r="E212" s="43" t="inlineStr">
        <is>
          <t>pilot-v2-doc-pm-janman-0001-0deee4377b38</t>
        </is>
      </c>
      <c r="F212" s="43" t="inlineStr">
        <is>
          <t>PM Janjati Adivasi Nyaya Maha Abhiyan (PM JANMAN)</t>
        </is>
      </c>
      <c r="G212"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212" s="49" t="inlineStr">
        <is>
          <t>0</t>
        </is>
      </c>
      <c r="I212" s="49" t="str"/>
      <c r="J212" s="55">
        <f>INT((ROW()-2)/50)+1</f>
        <v/>
      </c>
      <c r="K212" s="55">
        <f>IF(H212="","Pending",IF(OR(H212="0",H212="1",H212="2",H212="U"),"Complete","Invalid"))</f>
        <v/>
      </c>
    </row>
    <row r="213" ht="84" customHeight="1">
      <c r="A213" s="43" t="inlineStr">
        <is>
          <t>v2q-023-candidate-16</t>
        </is>
      </c>
      <c r="B213" s="43" t="inlineStr">
        <is>
          <t>v2q-023</t>
        </is>
      </c>
      <c r="C213" s="43" t="inlineStr">
        <is>
          <t>What role does a Gram Panchayat play when a household registers for MGNREGA?</t>
        </is>
      </c>
      <c r="D213" s="43" t="inlineStr">
        <is>
          <t>A household may apply through its local Gram Panchayat, which verifies residence, household identity, and adult membership details.</t>
        </is>
      </c>
      <c r="E213" s="43" t="inlineStr">
        <is>
          <t>pilot-v2-doc-pmay-g-0006-d323213e3255</t>
        </is>
      </c>
      <c r="F213" s="43" t="inlineStr">
        <is>
          <t>Pradhan Mantri Awaas Yojana - Gramin</t>
        </is>
      </c>
      <c r="G213" s="43" t="inlineStr">
        <is>
          <t>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H213" s="49" t="inlineStr">
        <is>
          <t>0</t>
        </is>
      </c>
      <c r="I213" s="49" t="str"/>
      <c r="J213" s="55">
        <f>INT((ROW()-2)/50)+1</f>
        <v/>
      </c>
      <c r="K213" s="55">
        <f>IF(H213="","Pending",IF(OR(H213="0",H213="1",H213="2",H213="U"),"Complete","Invalid"))</f>
        <v/>
      </c>
    </row>
    <row r="214" ht="84" customHeight="1">
      <c r="A214" s="43" t="inlineStr">
        <is>
          <t>v2q-015-candidate-02</t>
        </is>
      </c>
      <c r="B214" s="43" t="inlineStr">
        <is>
          <t>v2q-015</t>
        </is>
      </c>
      <c r="C214" s="43" t="inlineStr">
        <is>
          <t>Which initiative helps job-seekers and established craftspeople launch small businesses outside agriculture?</t>
        </is>
      </c>
      <c r="D214" s="43" t="inlineStr">
        <is>
          <t>The Prime Minister's Employment Generation Programme supports new micro-enterprises to create self-employment for traditional artisans, unemployed youth, and other eligible beneficiaries.</t>
        </is>
      </c>
      <c r="E214" s="43" t="inlineStr">
        <is>
          <t>pilot-v2-doc-pm-kmy-guidelines-0004-79b3bf95bb65</t>
        </is>
      </c>
      <c r="F214" s="43" t="inlineStr">
        <is>
          <t>Pradhan Mantri Kisan Maan Dhan Yojana Operational Guidelines</t>
        </is>
      </c>
      <c r="G214"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214" s="49" t="inlineStr">
        <is>
          <t>0</t>
        </is>
      </c>
      <c r="I214" s="49" t="str"/>
      <c r="J214" s="55">
        <f>INT((ROW()-2)/50)+1</f>
        <v/>
      </c>
      <c r="K214" s="55">
        <f>IF(H214="","Pending",IF(OR(H214="0",H214="1",H214="2",H214="U"),"Complete","Invalid"))</f>
        <v/>
      </c>
    </row>
    <row r="215" ht="84" customHeight="1">
      <c r="A215" s="43" t="inlineStr">
        <is>
          <t>v2q-023-candidate-20</t>
        </is>
      </c>
      <c r="B215" s="43" t="inlineStr">
        <is>
          <t>v2q-023</t>
        </is>
      </c>
      <c r="C215" s="43" t="inlineStr">
        <is>
          <t>What role does a Gram Panchayat play when a household registers for MGNREGA?</t>
        </is>
      </c>
      <c r="D215" s="43" t="inlineStr">
        <is>
          <t>A household may apply through its local Gram Panchayat, which verifies residence, household identity, and adult membership details.</t>
        </is>
      </c>
      <c r="E215" s="43" t="inlineStr">
        <is>
          <t>pilot-v2-doc-pmay-g-0003-2769023a3f73</t>
        </is>
      </c>
      <c r="F215" s="43" t="inlineStr">
        <is>
          <t>Pradhan Mantri Awaas Yojana - Gramin</t>
        </is>
      </c>
      <c r="G215"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215" s="49" t="inlineStr">
        <is>
          <t>0</t>
        </is>
      </c>
      <c r="I215" s="49" t="str"/>
      <c r="J215" s="55">
        <f>INT((ROW()-2)/50)+1</f>
        <v/>
      </c>
      <c r="K215" s="55">
        <f>IF(H215="","Pending",IF(OR(H215="0",H215="1",H215="2",H215="U"),"Complete","Invalid"))</f>
        <v/>
      </c>
    </row>
    <row r="216" ht="84" customHeight="1">
      <c r="A216" s="43" t="inlineStr">
        <is>
          <t>v2q-033-candidate-01</t>
        </is>
      </c>
      <c r="B216" s="43" t="inlineStr">
        <is>
          <t>v2q-033</t>
        </is>
      </c>
      <c r="C216" s="43" t="inlineStr">
        <is>
          <t>How do three programmes support micro-enterprises, new enterprise creation, and street-vendor livelihoods through different financial mechanisms?</t>
        </is>
      </c>
      <c r="D216" s="43" t="inlineStr">
        <is>
          <t>PMMY provides micro-credit to eligible micro-enterprises; PMEGP uses a credit-linked subsidy to establish new micro-enterprises; PM SVANidhi provides street vendors collateral-free working-capital loans, interest subsidy, and digital-payment incentives.</t>
        </is>
      </c>
      <c r="E216" s="43" t="inlineStr">
        <is>
          <t>pilot-v2-doc-pmegp-0000-7b958e1ec4b0</t>
        </is>
      </c>
      <c r="F216" s="43" t="inlineStr">
        <is>
          <t>Prime Minister's Employment Generation Programme</t>
        </is>
      </c>
      <c r="G216"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216" s="49" t="inlineStr">
        <is>
          <t>2</t>
        </is>
      </c>
      <c r="I216" s="49" t="str"/>
      <c r="J216" s="55">
        <f>INT((ROW()-2)/50)+1</f>
        <v/>
      </c>
      <c r="K216" s="55">
        <f>IF(H216="","Pending",IF(OR(H216="0",H216="1",H216="2",H216="U"),"Complete","Invalid"))</f>
        <v/>
      </c>
    </row>
    <row r="217" ht="84" customHeight="1">
      <c r="A217" s="43" t="inlineStr">
        <is>
          <t>v2q-006-candidate-14</t>
        </is>
      </c>
      <c r="B217" s="43" t="inlineStr">
        <is>
          <t>v2q-006</t>
        </is>
      </c>
      <c r="C217" s="43" t="inlineStr">
        <is>
          <t>What annual hospitalisation cover does AB-PMJAY provide per eligible family?</t>
        </is>
      </c>
      <c r="D217" s="43" t="inlineStr">
        <is>
          <t>AB-PMJAY provides cashless hospitalisation cover of ₹5 lakh per family per year for secondary and tertiary healthcare.</t>
        </is>
      </c>
      <c r="E217" s="43" t="inlineStr">
        <is>
          <t>pilot-v2-doc-pmsby-0000-0f297846df39</t>
        </is>
      </c>
      <c r="F217" s="43" t="inlineStr">
        <is>
          <t>Pradhan Mantri Suraksha Bima Yojana</t>
        </is>
      </c>
      <c r="G217"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217" s="49" t="inlineStr">
        <is>
          <t>0</t>
        </is>
      </c>
      <c r="I217" s="49" t="str"/>
      <c r="J217" s="55">
        <f>INT((ROW()-2)/50)+1</f>
        <v/>
      </c>
      <c r="K217" s="55">
        <f>IF(H217="","Pending",IF(OR(H217="0",H217="1",H217="2",H217="U"),"Complete","Invalid"))</f>
        <v/>
      </c>
    </row>
    <row r="218" ht="84" customHeight="1">
      <c r="A218" s="43" t="inlineStr">
        <is>
          <t>v2q-020-candidate-01</t>
        </is>
      </c>
      <c r="B218" s="43" t="inlineStr">
        <is>
          <t>v2q-020</t>
        </is>
      </c>
      <c r="C218" s="43" t="inlineStr">
        <is>
          <t>How do NSDC and SPIAs divide responsibility in the Special Projects arm of the national skill mission?</t>
        </is>
      </c>
      <c r="D218" s="43" t="inlineStr">
        <is>
          <t>NSDC supports the ministry’s implementation, while Special Projects Implementing Agencies deliver the projects on the ground.</t>
        </is>
      </c>
      <c r="E218" s="43" t="inlineStr">
        <is>
          <t>pilot-v2-doc-pm-kmy-guidelines-0021-7ce201d9d183</t>
        </is>
      </c>
      <c r="F218" s="43" t="inlineStr">
        <is>
          <t>Pradhan Mantri Kisan Maan Dhan Yojana Operational Guidelines</t>
        </is>
      </c>
      <c r="G218"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218" s="49" t="inlineStr">
        <is>
          <t>0</t>
        </is>
      </c>
      <c r="I218" s="49" t="str"/>
      <c r="J218" s="55">
        <f>INT((ROW()-2)/50)+1</f>
        <v/>
      </c>
      <c r="K218" s="55">
        <f>IF(H218="","Pending",IF(OR(H218="0",H218="1",H218="2",H218="U"),"Complete","Invalid"))</f>
        <v/>
      </c>
    </row>
    <row r="219" ht="84" customHeight="1">
      <c r="A219" s="43" t="inlineStr">
        <is>
          <t>v2q-021-candidate-04</t>
        </is>
      </c>
      <c r="B219" s="43" t="inlineStr">
        <is>
          <t>v2q-021</t>
        </is>
      </c>
      <c r="C219" s="43" t="inlineStr">
        <is>
          <t>How do insurance companies and banks participate in PMFBY?</t>
        </is>
      </c>
      <c r="D219" s="43" t="inlineStr">
        <is>
          <t>PMFBY is implemented through a network of insurance companies and banks to provide crop-insurance protection to farmers.</t>
        </is>
      </c>
      <c r="E219" s="43" t="inlineStr">
        <is>
          <t>pilot-v2-doc-pmfby-0000-d9ad07736d66</t>
        </is>
      </c>
      <c r="F219" s="43" t="inlineStr">
        <is>
          <t>Pradhan Mantri Fasal Bima Yojna (PMFBY)</t>
        </is>
      </c>
      <c r="G219"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219" s="49" t="inlineStr">
        <is>
          <t>2</t>
        </is>
      </c>
      <c r="I219" s="49" t="str"/>
      <c r="J219" s="55">
        <f>INT((ROW()-2)/50)+1</f>
        <v/>
      </c>
      <c r="K219" s="55">
        <f>IF(H219="","Pending",IF(OR(H219="0",H219="1",H219="2",H219="U"),"Complete","Invalid"))</f>
        <v/>
      </c>
    </row>
    <row r="220" ht="84" customHeight="1">
      <c r="A220" s="43" t="inlineStr">
        <is>
          <t>v2q-001-candidate-04</t>
        </is>
      </c>
      <c r="B220" s="43" t="inlineStr">
        <is>
          <t>v2q-001</t>
        </is>
      </c>
      <c r="C220" s="43" t="inlineStr">
        <is>
          <t>What is the minimum house size specified under PMAY-G?</t>
        </is>
      </c>
      <c r="D220" s="43" t="inlineStr">
        <is>
          <t>The minimum house size is 25 square metres, including a dedicated hygienic cooking area.</t>
        </is>
      </c>
      <c r="E220" s="43" t="inlineStr">
        <is>
          <t>pilot-v2-doc-pmay-g-0002-e08c1e347071</t>
        </is>
      </c>
      <c r="F220" s="43" t="inlineStr">
        <is>
          <t>Pradhan Mantri Awaas Yojana - Gramin</t>
        </is>
      </c>
      <c r="G220"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220" s="49" t="inlineStr">
        <is>
          <t>1</t>
        </is>
      </c>
      <c r="I220" s="49" t="str"/>
      <c r="J220" s="55">
        <f>INT((ROW()-2)/50)+1</f>
        <v/>
      </c>
      <c r="K220" s="55">
        <f>IF(H220="","Pending",IF(OR(H220="0",H220="1",H220="2",H220="U"),"Complete","Invalid"))</f>
        <v/>
      </c>
    </row>
    <row r="221" ht="84" customHeight="1">
      <c r="A221" s="43" t="inlineStr">
        <is>
          <t>v2q-033-candidate-10</t>
        </is>
      </c>
      <c r="B221" s="43" t="inlineStr">
        <is>
          <t>v2q-033</t>
        </is>
      </c>
      <c r="C221" s="43" t="inlineStr">
        <is>
          <t>How do three programmes support micro-enterprises, new enterprise creation, and street-vendor livelihoods through different financial mechanisms?</t>
        </is>
      </c>
      <c r="D221" s="43" t="inlineStr">
        <is>
          <t>PMMY provides micro-credit to eligible micro-enterprises; PMEGP uses a credit-linked subsidy to establish new micro-enterprises; PM SVANidhi provides street vendors collateral-free working-capital loans, interest subsidy, and digital-payment incentives.</t>
        </is>
      </c>
      <c r="E221" s="43" t="inlineStr">
        <is>
          <t>pilot-v2-doc-pmegp-0004-80f46cce6893</t>
        </is>
      </c>
      <c r="F221" s="43" t="inlineStr">
        <is>
          <t>Prime Minister's Employment Generation Programme</t>
        </is>
      </c>
      <c r="G221" s="43" t="inlineStr">
        <is>
          <t>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is>
      </c>
      <c r="H221" s="49" t="inlineStr">
        <is>
          <t>2</t>
        </is>
      </c>
      <c r="I221" s="49" t="str"/>
      <c r="J221" s="55">
        <f>INT((ROW()-2)/50)+1</f>
        <v/>
      </c>
      <c r="K221" s="55">
        <f>IF(H221="","Pending",IF(OR(H221="0",H221="1",H221="2",H221="U"),"Complete","Invalid"))</f>
        <v/>
      </c>
    </row>
    <row r="222" ht="84" customHeight="1">
      <c r="A222" s="43" t="inlineStr">
        <is>
          <t>v2q-029-candidate-17</t>
        </is>
      </c>
      <c r="B222" s="43" t="inlineStr">
        <is>
          <t>v2q-029</t>
        </is>
      </c>
      <c r="C222" s="43" t="inlineStr">
        <is>
          <t>What migrant-focused facility distinguishes Ujjwala 2.0, and what clean-cooking transition was established by its predecessor programme?</t>
        </is>
      </c>
      <c r="D222" s="43" t="inlineStr">
        <is>
          <t>Ujjwala 2.0 added 1.6 crore LPG connections with a special facility for migrant households. Its predecessor, Pradhan Mantri Ujjwala Yojana, sought to replace traditional cooking fuels with LPG access for rural and deprived households.</t>
        </is>
      </c>
      <c r="E222" s="43" t="inlineStr">
        <is>
          <t>pilot-v2-doc-mgnrega-0001-5203a455caa6</t>
        </is>
      </c>
      <c r="F222" s="43" t="inlineStr">
        <is>
          <t>Mahatma Gandhi National Rural Employment Guarantee Act</t>
        </is>
      </c>
      <c r="G222"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222" s="49" t="inlineStr">
        <is>
          <t>0</t>
        </is>
      </c>
      <c r="I222" s="49" t="str"/>
      <c r="J222" s="55">
        <f>INT((ROW()-2)/50)+1</f>
        <v/>
      </c>
      <c r="K222" s="55">
        <f>IF(H222="","Pending",IF(OR(H222="0",H222="1",H222="2",H222="U"),"Complete","Invalid"))</f>
        <v/>
      </c>
    </row>
    <row r="223" ht="84" customHeight="1">
      <c r="A223" s="43" t="inlineStr">
        <is>
          <t>v2q-009-candidate-02</t>
        </is>
      </c>
      <c r="B223" s="43" t="inlineStr">
        <is>
          <t>v2q-009</t>
        </is>
      </c>
      <c r="C223" s="43" t="inlineStr">
        <is>
          <t>What does APY stand for, and what monthly pension range does it guarantee after age 60?</t>
        </is>
      </c>
      <c r="D223" s="43" t="inlineStr">
        <is>
          <t>APY stands for Atal Pension Yojana and offers guaranteed monthly pension options from ₹1,000 to ₹5,000 after age 60.</t>
        </is>
      </c>
      <c r="E223" s="43" t="inlineStr">
        <is>
          <t>pilot-v2-doc-pm-kmy-guidelines-0000-0582a8323d67</t>
        </is>
      </c>
      <c r="F223" s="43" t="inlineStr">
        <is>
          <t>Pradhan Mantri Kisan Maan Dhan Yojana Operational Guidelines</t>
        </is>
      </c>
      <c r="G223"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223" s="49" t="inlineStr">
        <is>
          <t>0</t>
        </is>
      </c>
      <c r="I223" s="49" t="str"/>
      <c r="J223" s="55">
        <f>INT((ROW()-2)/50)+1</f>
        <v/>
      </c>
      <c r="K223" s="55">
        <f>IF(H223="","Pending",IF(OR(H223="0",H223="1",H223="2",H223="U"),"Complete","Invalid"))</f>
        <v/>
      </c>
    </row>
    <row r="224" ht="84" customHeight="1">
      <c r="A224" s="43" t="inlineStr">
        <is>
          <t>v2q-011-candidate-16</t>
        </is>
      </c>
      <c r="B224" s="43" t="inlineStr">
        <is>
          <t>v2q-011</t>
        </is>
      </c>
      <c r="C224" s="43" t="inlineStr">
        <is>
          <t>What does PM JANMAN stand for, and which communities does it target?</t>
        </is>
      </c>
      <c r="D224" s="43" t="inlineStr">
        <is>
          <t>PM JANMAN stands for PM Janjati Adivasi Nyaya Maha Abhiyan and targets Particularly Vulnerable Tribal Groups.</t>
        </is>
      </c>
      <c r="E224" s="43" t="inlineStr">
        <is>
          <t>pilot-v2-doc-ab-pmjay-0000-94c82a474579</t>
        </is>
      </c>
      <c r="F224" s="43" t="inlineStr">
        <is>
          <t>Ayushman Bharat - Pradhan Mantri Jan Arogya Yojana</t>
        </is>
      </c>
      <c r="G224"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224" s="49" t="inlineStr">
        <is>
          <t>0</t>
        </is>
      </c>
      <c r="I224" s="49" t="str"/>
      <c r="J224" s="55">
        <f>INT((ROW()-2)/50)+1</f>
        <v/>
      </c>
      <c r="K224" s="55">
        <f>IF(H224="","Pending",IF(OR(H224="0",H224="1",H224="2",H224="U"),"Complete","Invalid"))</f>
        <v/>
      </c>
    </row>
    <row r="225" ht="84" customHeight="1">
      <c r="A225" s="43" t="inlineStr">
        <is>
          <t>v2q-017-candidate-07</t>
        </is>
      </c>
      <c r="B225" s="43" t="inlineStr">
        <is>
          <t>v2q-017</t>
        </is>
      </c>
      <c r="C225" s="43" t="inlineStr">
        <is>
          <t>Which training route serves people no longer in education or work who need an initial occupational skill?</t>
        </is>
      </c>
      <c r="D225" s="43" t="inlineStr">
        <is>
          <t>PMKVY 4.0 Short-Term Training provides fresh skilling, reskilling, or upskilling for groups including school or college dropouts and unemployed youth.</t>
        </is>
      </c>
      <c r="E225" s="43" t="inlineStr">
        <is>
          <t>pilot-v2-doc-pmkvy-sp-0001-43aac7629fa6</t>
        </is>
      </c>
      <c r="F225" s="43" t="inlineStr">
        <is>
          <t>Pradhan Mantri Kaushal Vikas Yojana 4.0- Special Projects</t>
        </is>
      </c>
      <c r="G225" s="43" t="inlineStr">
        <is>
          <t>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 lifelong skilling through upskilling and reskilling to address the dynamic needs of the ever-changing market. The scheme ensures quality training delivery through trained pedagogy, standardised assessments, and industry-relevant curriculum. The scheme facilitates enhanced employability through training in transferable skills and incentives for employment generation. The scheme provides candidate-centric training with emphasis on industry-relevant skills.. The scheme aims to address the skilling needs of marginalised groups and difficult geographies. Project-based short-term skill training is provided to such candidates.. The following benefits are provided to candidates under Special Projects: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t>
        </is>
      </c>
      <c r="H225" s="49" t="inlineStr">
        <is>
          <t>1</t>
        </is>
      </c>
      <c r="I225" s="49" t="str"/>
      <c r="J225" s="55">
        <f>INT((ROW()-2)/50)+1</f>
        <v/>
      </c>
      <c r="K225" s="55">
        <f>IF(H225="","Pending",IF(OR(H225="0",H225="1",H225="2",H225="U"),"Complete","Invalid"))</f>
        <v/>
      </c>
    </row>
    <row r="226" ht="84" customHeight="1">
      <c r="A226" s="43" t="inlineStr">
        <is>
          <t>v2q-032-candidate-04</t>
        </is>
      </c>
      <c r="B226" s="43" t="inlineStr">
        <is>
          <t>v2q-032</t>
        </is>
      </c>
      <c r="C226" s="43" t="inlineStr">
        <is>
          <t>How do three farmer programmes separately address crop loss, current income needs, and old-age income security?</t>
        </is>
      </c>
      <c r="D226" s="43" t="inlineStr">
        <is>
          <t>PMFBY insures crops against specified losses; PM-KISAN transfers ₹6,000 annually to eligible farmer families; PM-KMY provides eligible small and marginal farmers an assured ₹3,000 monthly pension from age 60.</t>
        </is>
      </c>
      <c r="E226" s="43" t="inlineStr">
        <is>
          <t>pilot-v2-doc-pm-kisan-guidelines-0009-4b2b66f9fbc9</t>
        </is>
      </c>
      <c r="F226" s="43" t="inlineStr">
        <is>
          <t>PM-KISAN Operational Guidelines</t>
        </is>
      </c>
      <c r="G226" s="43" t="inlineStr">
        <is>
          <t>can use the beneficiary Aadhaar number and other
information provided in the declaration to verify the  eligibility of the beneficiary for
scheme as per extant scheme guidelines with the concerned agencies”.
6.3   The existing land-ownership system in the concerned State / UT will be used for
identification of beneficiaries. Accordingly,  it  is of utmost importance that the land
records are clear and updated. Further, State / UT Governments would also expedite
                                         6
the progress of digitization of the land records and linking the same with Aadhaar as
well as bank details of the beneficiaries.
6.4   The lists of eligible beneficiaries would be published at the village level. Farmers’
families who are eligible but have been excluded should be provided an opportunity to
represent their case.
7.    Review, Monitoring and Grievance Redressal Mechanism
7.1   There will be stratified review  / monitoring mechanism at National, State and
District Level. At the National level, the Review Committee will be headed by Cabinet
Secretary. The States shall notify the State and District Level Review  / Monitoring
Committee.
7.2   The States  shall also  notify State and  District Level Grievance Redressal
Monitoring Committees for looking into all the grievances related to implementation of
the scheme. Any grievances or complaints which are received should be disposed off
on merit preferably within two weeks time.
8.    Setting up of Project Monitoring Unit (PMU)
8.1  A Project Monitoring Unit (PMU) at Central level will be set up in the 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t>
        </is>
      </c>
      <c r="H226" s="49" t="inlineStr">
        <is>
          <t>1</t>
        </is>
      </c>
      <c r="I226" s="49" t="str"/>
      <c r="J226" s="55">
        <f>INT((ROW()-2)/50)+1</f>
        <v/>
      </c>
      <c r="K226" s="55">
        <f>IF(H226="","Pending",IF(OR(H226="0",H226="1",H226="2",H226="U"),"Complete","Invalid"))</f>
        <v/>
      </c>
    </row>
    <row r="227" ht="84" customHeight="1">
      <c r="A227" s="43" t="inlineStr">
        <is>
          <t>v2q-001-candidate-13</t>
        </is>
      </c>
      <c r="B227" s="43" t="inlineStr">
        <is>
          <t>v2q-001</t>
        </is>
      </c>
      <c r="C227" s="43" t="inlineStr">
        <is>
          <t>What is the minimum house size specified under PMAY-G?</t>
        </is>
      </c>
      <c r="D227" s="43" t="inlineStr">
        <is>
          <t>The minimum house size is 25 square metres, including a dedicated hygienic cooking area.</t>
        </is>
      </c>
      <c r="E227" s="43" t="inlineStr">
        <is>
          <t>pilot-v2-doc-pm-janman-0001-0deee4377b38</t>
        </is>
      </c>
      <c r="F227" s="43" t="inlineStr">
        <is>
          <t>PM Janjati Adivasi Nyaya Maha Abhiyan (PM JANMAN)</t>
        </is>
      </c>
      <c r="G227"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227" s="49" t="inlineStr">
        <is>
          <t>0</t>
        </is>
      </c>
      <c r="I227" s="49" t="str"/>
      <c r="J227" s="55">
        <f>INT((ROW()-2)/50)+1</f>
        <v/>
      </c>
      <c r="K227" s="55">
        <f>IF(H227="","Pending",IF(OR(H227="0",H227="1",H227="2",H227="U"),"Complete","Invalid"))</f>
        <v/>
      </c>
    </row>
    <row r="228" ht="84" customHeight="1">
      <c r="A228" s="43" t="inlineStr">
        <is>
          <t>v2q-019-candidate-10</t>
        </is>
      </c>
      <c r="B228" s="43" t="inlineStr">
        <is>
          <t>v2q-019</t>
        </is>
      </c>
      <c r="C228" s="43" t="inlineStr">
        <is>
          <t>What role does the Ministry of Petroleum and Natural Gas have in Ujjwala 2.0?</t>
        </is>
      </c>
      <c r="D228" s="43" t="inlineStr">
        <is>
          <t>The ministry introduced Ujjwala 2.0 to provide LPG connections and promote clean cooking fuel among poor, rural, and deprived households.</t>
        </is>
      </c>
      <c r="E228" s="43" t="inlineStr">
        <is>
          <t>pilot-v2-doc-pmuy-0000-ad06c0c09d46</t>
        </is>
      </c>
      <c r="F228" s="43" t="inlineStr">
        <is>
          <t>Pradhan Mantri Ujjwala Yojana</t>
        </is>
      </c>
      <c r="G228"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228" s="49" t="inlineStr">
        <is>
          <t>1</t>
        </is>
      </c>
      <c r="I228" s="49" t="str"/>
      <c r="J228" s="55">
        <f>INT((ROW()-2)/50)+1</f>
        <v/>
      </c>
      <c r="K228" s="55">
        <f>IF(H228="","Pending",IF(OR(H228="0",H228="1",H228="2",H228="U"),"Complete","Invalid"))</f>
        <v/>
      </c>
    </row>
    <row r="229" ht="84" customHeight="1">
      <c r="A229" s="43" t="inlineStr">
        <is>
          <t>v2q-028-candidate-07</t>
        </is>
      </c>
      <c r="B229" s="43" t="inlineStr">
        <is>
          <t>v2q-028</t>
        </is>
      </c>
      <c r="C229" s="43" t="inlineStr">
        <is>
          <t>What does PMKVY Recognition of Prior Learning certify, and which other pathway from its ministry serves candidates seeking fresh short-term skills training?</t>
        </is>
      </c>
      <c r="D229" s="43" t="inlineStr">
        <is>
          <t>PMKVY Recognition of Prior Learning certifies candidates’ existing skills. PMKVY Short-Term Training, under the same Ministry of Skill Development and Entrepreneurship, provides fresh skilling, reskilling, or upskilling.</t>
        </is>
      </c>
      <c r="E229" s="43" t="inlineStr">
        <is>
          <t>pilot-v2-doc-pmkvy-stt-0003-3729a1c2e22c</t>
        </is>
      </c>
      <c r="F229" s="43" t="inlineStr">
        <is>
          <t>Pradhan Mantri Kaushal Vikas Yojana 4.0 - Short-Term Training</t>
        </is>
      </c>
      <c r="G229" s="43" t="inlineStr">
        <is>
          <t>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for training in the same sector, with the second time being for a higher NSQF-aligned job role only, and with a six-month gap between the certification date of the first course and the batch start date of the subsequent course.. Step 1: The applicant first registers on the Skill India Digital (SID) platform or the mobile application developed for the purpose; profile verification is completed through mobile-based OTP (eKYC), and a de-duplication check is carried out against the SID database to prevent re-enrolment in the same job role. Step 2: During registration, candidate profiling is done, with existing details fetched from other portals such as e-Shram and the National Career Services (NCS). Step 3: Online counselling is offered through SID to help the candidate select an appropriate course and Training Centre; the candidate may select the nearest Training Centre based on the availability of the preferred job role and the 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t>
        </is>
      </c>
      <c r="H229" s="49" t="inlineStr">
        <is>
          <t>1</t>
        </is>
      </c>
      <c r="I229" s="49" t="str"/>
      <c r="J229" s="55">
        <f>INT((ROW()-2)/50)+1</f>
        <v/>
      </c>
      <c r="K229" s="55">
        <f>IF(H229="","Pending",IF(OR(H229="0",H229="1",H229="2",H229="U"),"Complete","Invalid"))</f>
        <v/>
      </c>
    </row>
    <row r="230" ht="84" customHeight="1">
      <c r="A230" s="43" t="inlineStr">
        <is>
          <t>v2q-005-candidate-22</t>
        </is>
      </c>
      <c r="B230" s="43" t="inlineStr">
        <is>
          <t>v2q-005</t>
        </is>
      </c>
      <c r="C230" s="43" t="inlineStr">
        <is>
          <t>How many days of wage employment does MGNREGA guarantee a rural household in a financial year?</t>
        </is>
      </c>
      <c r="D230" s="43" t="inlineStr">
        <is>
          <t>MGNREGA guarantees at least 100 days of wage employment per financial year to a rural household whose adult members volunteer for unskilled work.</t>
        </is>
      </c>
      <c r="E230" s="43" t="inlineStr">
        <is>
          <t>pilot-v2-doc-pm-gkay-0001-ccd31e120258</t>
        </is>
      </c>
      <c r="F230" s="43" t="inlineStr">
        <is>
          <t>Pradhan Mantri Garib Kalyan Anna Yojana</t>
        </is>
      </c>
      <c r="G230"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230" s="49" t="inlineStr">
        <is>
          <t>0</t>
        </is>
      </c>
      <c r="I230" s="49" t="str"/>
      <c r="J230" s="55">
        <f>INT((ROW()-2)/50)+1</f>
        <v/>
      </c>
      <c r="K230" s="55">
        <f>IF(H230="","Pending",IF(OR(H230="0",H230="1",H230="2",H230="U"),"Complete","Invalid"))</f>
        <v/>
      </c>
    </row>
    <row r="231" ht="84" customHeight="1">
      <c r="A231" s="43" t="inlineStr">
        <is>
          <t>v2q-007-candidate-24</t>
        </is>
      </c>
      <c r="B231" s="43" t="inlineStr">
        <is>
          <t>v2q-007</t>
        </is>
      </c>
      <c r="C231" s="43" t="inlineStr">
        <is>
          <t>What is the full form of PMJJBY, and which event does its life insurance cover?</t>
        </is>
      </c>
      <c r="D231" s="43" t="inlineStr">
        <is>
          <t>PMJJBY stands for Pradhan Mantri Jeevan Jyoti Bima Yojana and provides life-insurance cover for death due to any reason.</t>
        </is>
      </c>
      <c r="E231" s="43" t="inlineStr">
        <is>
          <t>pilot-v2-doc-apy-0002-66a5cc4017fb</t>
        </is>
      </c>
      <c r="F231" s="43" t="inlineStr">
        <is>
          <t>Atal Pension Yojana</t>
        </is>
      </c>
      <c r="G231"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231" s="49" t="inlineStr">
        <is>
          <t>0</t>
        </is>
      </c>
      <c r="I231" s="49" t="str"/>
      <c r="J231" s="55">
        <f>INT((ROW()-2)/50)+1</f>
        <v/>
      </c>
      <c r="K231" s="55">
        <f>IF(H231="","Pending",IF(OR(H231="0",H231="1",H231="2",H231="U"),"Complete","Invalid"))</f>
        <v/>
      </c>
    </row>
    <row r="232" ht="84" customHeight="1">
      <c r="A232" s="43" t="inlineStr">
        <is>
          <t>v2q-002-candidate-22</t>
        </is>
      </c>
      <c r="B232" s="43" t="inlineStr">
        <is>
          <t>v2q-002</t>
        </is>
      </c>
      <c r="C232" s="43" t="inlineStr">
        <is>
          <t>What maximum premium rates can farmers pay under PMFBY for Kharif, Rabi, and annual commercial or horticultural crops?</t>
        </is>
      </c>
      <c r="D232" s="43" t="inlineStr">
        <is>
          <t>Farmers pay at most 2% for Kharif food and oilseed crops, 1.5% for Rabi food and oilseed crops, and 5% for annual commercial or horticultural crops.</t>
        </is>
      </c>
      <c r="E232" s="43" t="inlineStr">
        <is>
          <t>pilot-v2-doc-apy-0001-add48d27a4a2</t>
        </is>
      </c>
      <c r="F232" s="43" t="inlineStr">
        <is>
          <t>Atal Pension Yojana</t>
        </is>
      </c>
      <c r="G232"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232" s="49" t="inlineStr">
        <is>
          <t>0</t>
        </is>
      </c>
      <c r="I232" s="49" t="str"/>
      <c r="J232" s="55">
        <f>INT((ROW()-2)/50)+1</f>
        <v/>
      </c>
      <c r="K232" s="55">
        <f>IF(H232="","Pending",IF(OR(H232="0",H232="1",H232="2",H232="U"),"Complete","Invalid"))</f>
        <v/>
      </c>
    </row>
    <row r="233" ht="84" customHeight="1">
      <c r="A233" s="43" t="inlineStr">
        <is>
          <t>v2q-029-candidate-14</t>
        </is>
      </c>
      <c r="B233" s="43" t="inlineStr">
        <is>
          <t>v2q-029</t>
        </is>
      </c>
      <c r="C233" s="43" t="inlineStr">
        <is>
          <t>What migrant-focused facility distinguishes Ujjwala 2.0, and what clean-cooking transition was established by its predecessor programme?</t>
        </is>
      </c>
      <c r="D233" s="43" t="inlineStr">
        <is>
          <t>Ujjwala 2.0 added 1.6 crore LPG connections with a special facility for migrant households. Its predecessor, Pradhan Mantri Ujjwala Yojana, sought to replace traditional cooking fuels with LPG access for rural and deprived households.</t>
        </is>
      </c>
      <c r="E233" s="43" t="inlineStr">
        <is>
          <t>pilot-v2-doc-pmuy-0001-5fd4d0cd2135</t>
        </is>
      </c>
      <c r="F233" s="43" t="inlineStr">
        <is>
          <t>Pradhan Mantri Ujjwala Yojana</t>
        </is>
      </c>
      <c r="G233"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233" s="49" t="inlineStr">
        <is>
          <t>1</t>
        </is>
      </c>
      <c r="I233" s="49" t="str"/>
      <c r="J233" s="55">
        <f>INT((ROW()-2)/50)+1</f>
        <v/>
      </c>
      <c r="K233" s="55">
        <f>IF(H233="","Pending",IF(OR(H233="0",H233="1",H233="2",H233="U"),"Complete","Invalid"))</f>
        <v/>
      </c>
    </row>
    <row r="234" ht="84" customHeight="1">
      <c r="A234" s="43" t="inlineStr">
        <is>
          <t>v2q-029-candidate-15</t>
        </is>
      </c>
      <c r="B234" s="43" t="inlineStr">
        <is>
          <t>v2q-029</t>
        </is>
      </c>
      <c r="C234" s="43" t="inlineStr">
        <is>
          <t>What migrant-focused facility distinguishes Ujjwala 2.0, and what clean-cooking transition was established by its predecessor programme?</t>
        </is>
      </c>
      <c r="D234" s="43" t="inlineStr">
        <is>
          <t>Ujjwala 2.0 added 1.6 crore LPG connections with a special facility for migrant households. Its predecessor, Pradhan Mantri Ujjwala Yojana, sought to replace traditional cooking fuels with LPG access for rural and deprived households.</t>
        </is>
      </c>
      <c r="E234" s="43" t="inlineStr">
        <is>
          <t>pilot-v2-doc-ab-pmjay-0001-a632a7205efc</t>
        </is>
      </c>
      <c r="F234" s="43" t="inlineStr">
        <is>
          <t>Ayushman Bharat - Pradhan Mantri Jan Arogya Yojana</t>
        </is>
      </c>
      <c r="G234"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234" s="49" t="inlineStr">
        <is>
          <t>0</t>
        </is>
      </c>
      <c r="I234" s="49" t="str"/>
      <c r="J234" s="55">
        <f>INT((ROW()-2)/50)+1</f>
        <v/>
      </c>
      <c r="K234" s="55">
        <f>IF(H234="","Pending",IF(OR(H234="0",H234="1",H234="2",H234="U"),"Complete","Invalid"))</f>
        <v/>
      </c>
    </row>
    <row r="235" ht="84" customHeight="1">
      <c r="A235" s="43" t="inlineStr">
        <is>
          <t>v2q-002-candidate-20</t>
        </is>
      </c>
      <c r="B235" s="43" t="inlineStr">
        <is>
          <t>v2q-002</t>
        </is>
      </c>
      <c r="C235" s="43" t="inlineStr">
        <is>
          <t>What maximum premium rates can farmers pay under PMFBY for Kharif, Rabi, and annual commercial or horticultural crops?</t>
        </is>
      </c>
      <c r="D235" s="43" t="inlineStr">
        <is>
          <t>Farmers pay at most 2% for Kharif food and oilseed crops, 1.5% for Rabi food and oilseed crops, and 5% for annual commercial or horticultural crops.</t>
        </is>
      </c>
      <c r="E235" s="43" t="inlineStr">
        <is>
          <t>pilot-v2-doc-pm-kisan-guidelines-0001-5ad8f250b7e2</t>
        </is>
      </c>
      <c r="F235" s="43" t="inlineStr">
        <is>
          <t>PM-KISAN Operational Guidelines</t>
        </is>
      </c>
      <c r="G235"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235" s="49" t="inlineStr">
        <is>
          <t>0</t>
        </is>
      </c>
      <c r="I235" s="49" t="str"/>
      <c r="J235" s="55">
        <f>INT((ROW()-2)/50)+1</f>
        <v/>
      </c>
      <c r="K235" s="55">
        <f>IF(H235="","Pending",IF(OR(H235="0",H235="1",H235="2",H235="U"),"Complete","Invalid"))</f>
        <v/>
      </c>
    </row>
    <row r="236" ht="84" customHeight="1">
      <c r="A236" s="43" t="inlineStr">
        <is>
          <t>v2q-030-candidate-05</t>
        </is>
      </c>
      <c r="B236" s="43" t="inlineStr">
        <is>
          <t>v2q-030</t>
        </is>
      </c>
      <c r="C236" s="43" t="inlineStr">
        <is>
          <t>What retirement benefit does APY offer, and which life-insurance programme administered through the same department covers death from any cause?</t>
        </is>
      </c>
      <c r="D236" s="43" t="inlineStr">
        <is>
          <t>APY offers guaranteed monthly pension options after age 60. PMJJBY, associated with the same Department of Financial Services, provides life cover for death due to any reason.</t>
        </is>
      </c>
      <c r="E236" s="43" t="inlineStr">
        <is>
          <t>pilot-v2-doc-pm-kmy-guidelines-0007-64fd9c6362ca</t>
        </is>
      </c>
      <c r="F236" s="43" t="inlineStr">
        <is>
          <t>Pradhan Mantri Kisan Maan Dhan Yojana Operational Guidelines</t>
        </is>
      </c>
      <c r="G236" s="43" t="inlineStr">
        <is>
          <t>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 Pension Fund.
(xii)  In case of death of subscriber before vesting date, if the spouse does not exercise
option of continuing under the scheme, then subscribers’ contributions along with fund
                                               5
interest earned or Savings Bank Interest whichever is higher would be payable to the
spouse under the scheme.
(xiii) In case of death of subscriber before vesting date,  if there is no spouse, then
subscribers’ contributions along with fund interest earned or Savings Bank Interest,
whichever  is higher, would be payable to the nominee/s under the scheme. The co-
contributions made by Government along with fund interest earned after adjusting for
difference between Savings Bank Interest payable and fund interest earned, if any will be
credited back to Pension fund of Government.
(xiv)  If a subscriber dies after the date of vesting, his/her spouse shall be entitled to
receive  fifty per cent of the pension received by such  eligible subscriber as Family
Pension, provided she/he is not already an SMF beneficiary of the Scheme, and such
family pension shall be applicable only to the spouse.
(xv)  After death of subscriber as well as of his/her spouse, the corpus  i.e.  total
accumulated contributions made by the subscriber and the Government shall be credited
back to the fund.
(xvi)  The Eligible SMFs desirous of joining the scheme shall  visit nearest Common
Service Centre (CSC) along with his Aadhaar card and bank passbook or account details.
(xvii) The Village Level Entrepreneur (VLE)</t>
        </is>
      </c>
      <c r="H236" s="49" t="inlineStr">
        <is>
          <t>0</t>
        </is>
      </c>
      <c r="I236" s="49" t="str"/>
      <c r="J236" s="55">
        <f>INT((ROW()-2)/50)+1</f>
        <v/>
      </c>
      <c r="K236" s="55">
        <f>IF(H236="","Pending",IF(OR(H236="0",H236="1",H236="2",H236="U"),"Complete","Invalid"))</f>
        <v/>
      </c>
    </row>
    <row r="237" ht="84" customHeight="1">
      <c r="A237" s="43" t="inlineStr">
        <is>
          <t>v2q-022-candidate-17</t>
        </is>
      </c>
      <c r="B237" s="43" t="inlineStr">
        <is>
          <t>v2q-022</t>
        </is>
      </c>
      <c r="C237" s="43" t="inlineStr">
        <is>
          <t>Which finance programme relies on Member Lending Institutions to extend assistance to non-corporate micro-enterprises?</t>
        </is>
      </c>
      <c r="D237" s="43" t="inlineStr">
        <is>
          <t>Eligible Member Lending Institutions extend PMMY financial assistance and provide the scheme’s micro-loans to qualifying micro and small enterprises.</t>
        </is>
      </c>
      <c r="E237" s="43" t="inlineStr">
        <is>
          <t>pilot-v2-doc-apy-0000-c43dd88d7899</t>
        </is>
      </c>
      <c r="F237" s="43" t="inlineStr">
        <is>
          <t>Atal Pension Yojana</t>
        </is>
      </c>
      <c r="G237"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237" s="49" t="inlineStr">
        <is>
          <t>0</t>
        </is>
      </c>
      <c r="I237" s="49" t="str"/>
      <c r="J237" s="55">
        <f>INT((ROW()-2)/50)+1</f>
        <v/>
      </c>
      <c r="K237" s="55">
        <f>IF(H237="","Pending",IF(OR(H237="0",H237="1",H237="2",H237="U"),"Complete","Invalid"))</f>
        <v/>
      </c>
    </row>
    <row r="238" ht="84" customHeight="1">
      <c r="A238" s="43" t="inlineStr">
        <is>
          <t>v2q-011-candidate-18</t>
        </is>
      </c>
      <c r="B238" s="43" t="inlineStr">
        <is>
          <t>v2q-011</t>
        </is>
      </c>
      <c r="C238" s="43" t="inlineStr">
        <is>
          <t>What does PM JANMAN stand for, and which communities does it target?</t>
        </is>
      </c>
      <c r="D238" s="43" t="inlineStr">
        <is>
          <t>PM JANMAN stands for PM Janjati Adivasi Nyaya Maha Abhiyan and targets Particularly Vulnerable Tribal Groups.</t>
        </is>
      </c>
      <c r="E238" s="43" t="inlineStr">
        <is>
          <t>pilot-v2-doc-mgnrega-0001-5203a455caa6</t>
        </is>
      </c>
      <c r="F238" s="43" t="inlineStr">
        <is>
          <t>Mahatma Gandhi National Rural Employment Guarantee Act</t>
        </is>
      </c>
      <c r="G238"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238" s="49" t="inlineStr">
        <is>
          <t>0</t>
        </is>
      </c>
      <c r="I238" s="49" t="str"/>
      <c r="J238" s="55">
        <f>INT((ROW()-2)/50)+1</f>
        <v/>
      </c>
      <c r="K238" s="55">
        <f>IF(H238="","Pending",IF(OR(H238="0",H238="1",H238="2",H238="U"),"Complete","Invalid"))</f>
        <v/>
      </c>
    </row>
    <row r="239" ht="84" customHeight="1">
      <c r="A239" s="43" t="inlineStr">
        <is>
          <t>v2q-030-candidate-19</t>
        </is>
      </c>
      <c r="B239" s="43" t="inlineStr">
        <is>
          <t>v2q-030</t>
        </is>
      </c>
      <c r="C239" s="43" t="inlineStr">
        <is>
          <t>What retirement benefit does APY offer, and which life-insurance programme administered through the same department covers death from any cause?</t>
        </is>
      </c>
      <c r="D239" s="43" t="inlineStr">
        <is>
          <t>APY offers guaranteed monthly pension options after age 60. PMJJBY, associated with the same Department of Financial Services, provides life cover for death due to any reason.</t>
        </is>
      </c>
      <c r="E239" s="43" t="inlineStr">
        <is>
          <t>pilot-v2-doc-pmjdy-0000-8b241ec39723</t>
        </is>
      </c>
      <c r="F239" s="43" t="inlineStr">
        <is>
          <t>Pradhan Mantri Jan Dhan Yojana</t>
        </is>
      </c>
      <c r="G239"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239" s="49" t="inlineStr">
        <is>
          <t>0</t>
        </is>
      </c>
      <c r="I239" s="49" t="str"/>
      <c r="J239" s="55">
        <f>INT((ROW()-2)/50)+1</f>
        <v/>
      </c>
      <c r="K239" s="55">
        <f>IF(H239="","Pending",IF(OR(H239="0",H239="1",H239="2",H239="U"),"Complete","Invalid"))</f>
        <v/>
      </c>
    </row>
    <row r="240" ht="84" customHeight="1">
      <c r="A240" s="43" t="inlineStr">
        <is>
          <t>v2q-021-candidate-14</t>
        </is>
      </c>
      <c r="B240" s="43" t="inlineStr">
        <is>
          <t>v2q-021</t>
        </is>
      </c>
      <c r="C240" s="43" t="inlineStr">
        <is>
          <t>How do insurance companies and banks participate in PMFBY?</t>
        </is>
      </c>
      <c r="D240" s="43" t="inlineStr">
        <is>
          <t>PMFBY is implemented through a network of insurance companies and banks to provide crop-insurance protection to farmers.</t>
        </is>
      </c>
      <c r="E240" s="43" t="inlineStr">
        <is>
          <t>pilot-v2-doc-pmjjby-0000-47f7bb620cd4</t>
        </is>
      </c>
      <c r="F240" s="43" t="inlineStr">
        <is>
          <t>Pradhan Mantri Jeevan Jyoti Bima Yojana</t>
        </is>
      </c>
      <c r="G240"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240" s="49" t="inlineStr">
        <is>
          <t>0</t>
        </is>
      </c>
      <c r="I240" s="49" t="str"/>
      <c r="J240" s="55">
        <f>INT((ROW()-2)/50)+1</f>
        <v/>
      </c>
      <c r="K240" s="55">
        <f>IF(H240="","Pending",IF(OR(H240="0",H240="1",H240="2",H240="U"),"Complete","Invalid"))</f>
        <v/>
      </c>
    </row>
    <row r="241" ht="84" customHeight="1">
      <c r="A241" s="43" t="inlineStr">
        <is>
          <t>v2q-028-candidate-11</t>
        </is>
      </c>
      <c r="B241" s="43" t="inlineStr">
        <is>
          <t>v2q-028</t>
        </is>
      </c>
      <c r="C241" s="43" t="inlineStr">
        <is>
          <t>What does PMKVY Recognition of Prior Learning certify, and which other pathway from its ministry serves candidates seeking fresh short-term skills training?</t>
        </is>
      </c>
      <c r="D241" s="43" t="inlineStr">
        <is>
          <t>PMKVY Recognition of Prior Learning certifies candidates’ existing skills. PMKVY Short-Term Training, under the same Ministry of Skill Development and Entrepreneurship, provides fresh skilling, reskilling, or upskilling.</t>
        </is>
      </c>
      <c r="E241" s="43" t="inlineStr">
        <is>
          <t>pilot-v2-doc-pmkvy-sp-0001-43aac7629fa6</t>
        </is>
      </c>
      <c r="F241" s="43" t="inlineStr">
        <is>
          <t>Pradhan Mantri Kaushal Vikas Yojana 4.0- Special Projects</t>
        </is>
      </c>
      <c r="G241" s="43" t="inlineStr">
        <is>
          <t>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 lifelong skilling through upskilling and reskilling to address the dynamic needs of the ever-changing market. The scheme ensures quality training delivery through trained pedagogy, standardised assessments, and industry-relevant curriculum. The scheme facilitates enhanced employability through training in transferable skills and incentives for employment generation. The scheme provides candidate-centric training with emphasis on industry-relevant skills.. The scheme aims to address the skilling needs of marginalised groups and difficult geographies. Project-based short-term skill training is provided to such candidates.. The following benefits are provided to candidates under Special Projects: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t>
        </is>
      </c>
      <c r="H241" s="49" t="inlineStr">
        <is>
          <t>1</t>
        </is>
      </c>
      <c r="I241" s="49" t="str"/>
      <c r="J241" s="55">
        <f>INT((ROW()-2)/50)+1</f>
        <v/>
      </c>
      <c r="K241" s="55">
        <f>IF(H241="","Pending",IF(OR(H241="0",H241="1",H241="2",H241="U"),"Complete","Invalid"))</f>
        <v/>
      </c>
    </row>
    <row r="242" ht="84" customHeight="1">
      <c r="A242" s="43" t="inlineStr">
        <is>
          <t>v2q-006-candidate-22</t>
        </is>
      </c>
      <c r="B242" s="43" t="inlineStr">
        <is>
          <t>v2q-006</t>
        </is>
      </c>
      <c r="C242" s="43" t="inlineStr">
        <is>
          <t>What annual hospitalisation cover does AB-PMJAY provide per eligible family?</t>
        </is>
      </c>
      <c r="D242" s="43" t="inlineStr">
        <is>
          <t>AB-PMJAY provides cashless hospitalisation cover of ₹5 lakh per family per year for secondary and tertiary healthcare.</t>
        </is>
      </c>
      <c r="E242" s="43" t="inlineStr">
        <is>
          <t>pilot-v2-doc-pmay-g-0000-d4162175877d</t>
        </is>
      </c>
      <c r="F242" s="43" t="inlineStr">
        <is>
          <t>Pradhan Mantri Awaas Yojana - Gramin</t>
        </is>
      </c>
      <c r="G242"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242" s="49" t="inlineStr">
        <is>
          <t>0</t>
        </is>
      </c>
      <c r="I242" s="49" t="str"/>
      <c r="J242" s="55">
        <f>INT((ROW()-2)/50)+1</f>
        <v/>
      </c>
      <c r="K242" s="55">
        <f>IF(H242="","Pending",IF(OR(H242="0",H242="1",H242="2",H242="U"),"Complete","Invalid"))</f>
        <v/>
      </c>
    </row>
    <row r="243" ht="84" customHeight="1">
      <c r="A243" s="43" t="inlineStr">
        <is>
          <t>v2q-018-candidate-11</t>
        </is>
      </c>
      <c r="B243" s="43" t="inlineStr">
        <is>
          <t>v2q-018</t>
        </is>
      </c>
      <c r="C243" s="43" t="inlineStr">
        <is>
          <t>Which initiative helps city households across officially defined lower and middle income bands obtain permanent homes?</t>
        </is>
      </c>
      <c r="D243" s="43" t="inlineStr">
        <is>
          <t>Pradhan Mantri Awas Yojana–Urban addresses urban housing shortages and supports eligible EWS, LIG, and MIG households, including slum dwellers.</t>
        </is>
      </c>
      <c r="E243" s="43" t="inlineStr">
        <is>
          <t>pilot-v2-doc-pmay-g-0000-d4162175877d</t>
        </is>
      </c>
      <c r="F243" s="43" t="inlineStr">
        <is>
          <t>Pradhan Mantri Awaas Yojana - Gramin</t>
        </is>
      </c>
      <c r="G243"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243" s="49" t="inlineStr">
        <is>
          <t>0</t>
        </is>
      </c>
      <c r="I243" s="49" t="str"/>
      <c r="J243" s="55">
        <f>INT((ROW()-2)/50)+1</f>
        <v/>
      </c>
      <c r="K243" s="55">
        <f>IF(H243="","Pending",IF(OR(H243="0",H243="1",H243="2",H243="U"),"Complete","Invalid"))</f>
        <v/>
      </c>
    </row>
    <row r="244" ht="84" customHeight="1">
      <c r="A244" s="43" t="inlineStr">
        <is>
          <t>v2q-029-candidate-03</t>
        </is>
      </c>
      <c r="B244" s="43" t="inlineStr">
        <is>
          <t>v2q-029</t>
        </is>
      </c>
      <c r="C244" s="43" t="inlineStr">
        <is>
          <t>What migrant-focused facility distinguishes Ujjwala 2.0, and what clean-cooking transition was established by its predecessor programme?</t>
        </is>
      </c>
      <c r="D244" s="43" t="inlineStr">
        <is>
          <t>Ujjwala 2.0 added 1.6 crore LPG connections with a special facility for migrant households. Its predecessor, Pradhan Mantri Ujjwala Yojana, sought to replace traditional cooking fuels with LPG access for rural and deprived households.</t>
        </is>
      </c>
      <c r="E244" s="43" t="inlineStr">
        <is>
          <t>pilot-v2-doc-pmuy2-0001-065bd619e9c6</t>
        </is>
      </c>
      <c r="F244" s="43" t="inlineStr">
        <is>
          <t>Pradhan Mantri Ujjwala Yojana 2.0</t>
        </is>
      </c>
      <c r="G244" s="43" t="inlineStr">
        <is>
          <t>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is>
      </c>
      <c r="H244" s="49" t="inlineStr">
        <is>
          <t>2</t>
        </is>
      </c>
      <c r="I244" s="49" t="str"/>
      <c r="J244" s="55">
        <f>INT((ROW()-2)/50)+1</f>
        <v/>
      </c>
      <c r="K244" s="55">
        <f>IF(H244="","Pending",IF(OR(H244="0",H244="1",H244="2",H244="U"),"Complete","Invalid"))</f>
        <v/>
      </c>
    </row>
    <row r="245" ht="84" customHeight="1">
      <c r="A245" s="43" t="inlineStr">
        <is>
          <t>v2q-013-candidate-07</t>
        </is>
      </c>
      <c r="B245" s="43" t="inlineStr">
        <is>
          <t>v2q-013</t>
        </is>
      </c>
      <c r="C245" s="43" t="inlineStr">
        <is>
          <t>Which initiative helps women in low-income countryside homes replace smoke-producing solid cooking materials with bottled gas?</t>
        </is>
      </c>
      <c r="D245" s="43" t="inlineStr">
        <is>
          <t>Pradhan Mantri Ujjwala Yojana provides LPG access to rural and deprived households that previously relied on traditional cooking fuels.</t>
        </is>
      </c>
      <c r="E245" s="43" t="inlineStr">
        <is>
          <t>pilot-v2-doc-pmay-u-0001-b64fadc4bf6b</t>
        </is>
      </c>
      <c r="F245" s="43" t="inlineStr">
        <is>
          <t>Pradhan Mantri Awas Yojana - Urban</t>
        </is>
      </c>
      <c r="G245"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245" s="49" t="inlineStr">
        <is>
          <t>0</t>
        </is>
      </c>
      <c r="I245" s="49" t="str"/>
      <c r="J245" s="55">
        <f>INT((ROW()-2)/50)+1</f>
        <v/>
      </c>
      <c r="K245" s="55">
        <f>IF(H245="","Pending",IF(OR(H245="0",H245="1",H245="2",H245="U"),"Complete","Invalid"))</f>
        <v/>
      </c>
    </row>
    <row r="246" ht="84" customHeight="1">
      <c r="A246" s="43" t="inlineStr">
        <is>
          <t>v2q-021-candidate-10</t>
        </is>
      </c>
      <c r="B246" s="43" t="inlineStr">
        <is>
          <t>v2q-021</t>
        </is>
      </c>
      <c r="C246" s="43" t="inlineStr">
        <is>
          <t>How do insurance companies and banks participate in PMFBY?</t>
        </is>
      </c>
      <c r="D246" s="43" t="inlineStr">
        <is>
          <t>PMFBY is implemented through a network of insurance companies and banks to provide crop-insurance protection to farmers.</t>
        </is>
      </c>
      <c r="E246" s="43" t="inlineStr">
        <is>
          <t>pilot-v2-doc-pmjdy-0001-95c3d046d79a</t>
        </is>
      </c>
      <c r="F246" s="43" t="inlineStr">
        <is>
          <t>Pradhan Mantri Jan Dhan Yojana</t>
        </is>
      </c>
      <c r="G246"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246" s="49" t="inlineStr">
        <is>
          <t>0</t>
        </is>
      </c>
      <c r="I246" s="49" t="str"/>
      <c r="J246" s="55">
        <f>INT((ROW()-2)/50)+1</f>
        <v/>
      </c>
      <c r="K246" s="55">
        <f>IF(H246="","Pending",IF(OR(H246="0",H246="1",H246="2",H246="U"),"Complete","Invalid"))</f>
        <v/>
      </c>
    </row>
    <row r="247" ht="84" customHeight="1">
      <c r="A247" s="43" t="inlineStr">
        <is>
          <t>v2q-001-candidate-07</t>
        </is>
      </c>
      <c r="B247" s="43" t="inlineStr">
        <is>
          <t>v2q-001</t>
        </is>
      </c>
      <c r="C247" s="43" t="inlineStr">
        <is>
          <t>What is the minimum house size specified under PMAY-G?</t>
        </is>
      </c>
      <c r="D247" s="43" t="inlineStr">
        <is>
          <t>The minimum house size is 25 square metres, including a dedicated hygienic cooking area.</t>
        </is>
      </c>
      <c r="E247" s="43" t="inlineStr">
        <is>
          <t>pilot-v2-doc-pmay-g-0001-db2db8af1543</t>
        </is>
      </c>
      <c r="F247" s="43" t="inlineStr">
        <is>
          <t>Pradhan Mantri Awaas Yojana - Gramin</t>
        </is>
      </c>
      <c r="G247"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247" s="49" t="inlineStr">
        <is>
          <t>2</t>
        </is>
      </c>
      <c r="I247" s="49" t="str"/>
      <c r="J247" s="55">
        <f>INT((ROW()-2)/50)+1</f>
        <v/>
      </c>
      <c r="K247" s="55">
        <f>IF(H247="","Pending",IF(OR(H247="0",H247="1",H247="2",H247="U"),"Complete","Invalid"))</f>
        <v/>
      </c>
    </row>
    <row r="248" ht="84" customHeight="1">
      <c r="A248" s="43" t="inlineStr">
        <is>
          <t>v2q-014-candidate-19</t>
        </is>
      </c>
      <c r="B248" s="43" t="inlineStr">
        <is>
          <t>v2q-014</t>
        </is>
      </c>
      <c r="C248" s="43" t="inlineStr">
        <is>
          <t>Under the national ration programme, what monthly cereal allocation goes to families in the poorest entitlement tier and to each person in the priority tier?</t>
        </is>
      </c>
      <c r="D248" s="43" t="inlineStr">
        <is>
          <t>AAY families receive 35 kilograms per family per month, while PHH beneficiaries receive 5 kilograms per person per month.</t>
        </is>
      </c>
      <c r="E248" s="43" t="inlineStr">
        <is>
          <t>pilot-v2-doc-ab-pmjay-0002-58c80bb24a6c</t>
        </is>
      </c>
      <c r="F248" s="43" t="inlineStr">
        <is>
          <t>Ayushman Bharat - Pradhan Mantri Jan Arogya Yojana</t>
        </is>
      </c>
      <c r="G248"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248" s="49" t="inlineStr">
        <is>
          <t>0</t>
        </is>
      </c>
      <c r="I248" s="49" t="str"/>
      <c r="J248" s="55">
        <f>INT((ROW()-2)/50)+1</f>
        <v/>
      </c>
      <c r="K248" s="55">
        <f>IF(H248="","Pending",IF(OR(H248="0",H248="1",H248="2",H248="U"),"Complete","Invalid"))</f>
        <v/>
      </c>
    </row>
    <row r="249" ht="84" customHeight="1">
      <c r="A249" s="43" t="inlineStr">
        <is>
          <t>v2q-019-candidate-21</t>
        </is>
      </c>
      <c r="B249" s="43" t="inlineStr">
        <is>
          <t>v2q-019</t>
        </is>
      </c>
      <c r="C249" s="43" t="inlineStr">
        <is>
          <t>What role does the Ministry of Petroleum and Natural Gas have in Ujjwala 2.0?</t>
        </is>
      </c>
      <c r="D249" s="43" t="inlineStr">
        <is>
          <t>The ministry introduced Ujjwala 2.0 to provide LPG connections and promote clean cooking fuel among poor, rural, and deprived households.</t>
        </is>
      </c>
      <c r="E249" s="43" t="inlineStr">
        <is>
          <t>pilot-v2-doc-mgnrega-0000-7e6d80b47566</t>
        </is>
      </c>
      <c r="F249" s="43" t="inlineStr">
        <is>
          <t>Mahatma Gandhi National Rural Employment Guarantee Act</t>
        </is>
      </c>
      <c r="G249"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249" s="49" t="inlineStr">
        <is>
          <t>0</t>
        </is>
      </c>
      <c r="I249" s="49" t="str"/>
      <c r="J249" s="55">
        <f>INT((ROW()-2)/50)+1</f>
        <v/>
      </c>
      <c r="K249" s="55">
        <f>IF(H249="","Pending",IF(OR(H249="0",H249="1",H249="2",H249="U"),"Complete","Invalid"))</f>
        <v/>
      </c>
    </row>
    <row r="250" ht="84" customHeight="1">
      <c r="A250" s="43" t="inlineStr">
        <is>
          <t>v2q-013-candidate-03</t>
        </is>
      </c>
      <c r="B250" s="43" t="inlineStr">
        <is>
          <t>v2q-013</t>
        </is>
      </c>
      <c r="C250" s="43" t="inlineStr">
        <is>
          <t>Which initiative helps women in low-income countryside homes replace smoke-producing solid cooking materials with bottled gas?</t>
        </is>
      </c>
      <c r="D250" s="43" t="inlineStr">
        <is>
          <t>Pradhan Mantri Ujjwala Yojana provides LPG access to rural and deprived households that previously relied on traditional cooking fuels.</t>
        </is>
      </c>
      <c r="E250" s="43" t="inlineStr">
        <is>
          <t>pilot-v2-doc-apy-0000-c43dd88d7899</t>
        </is>
      </c>
      <c r="F250" s="43" t="inlineStr">
        <is>
          <t>Atal Pension Yojana</t>
        </is>
      </c>
      <c r="G250"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250" s="49" t="inlineStr">
        <is>
          <t>0</t>
        </is>
      </c>
      <c r="I250" s="49" t="str"/>
      <c r="J250" s="55">
        <f>INT((ROW()-2)/50)+1</f>
        <v/>
      </c>
      <c r="K250" s="55">
        <f>IF(H250="","Pending",IF(OR(H250="0",H250="1",H250="2",H250="U"),"Complete","Invalid"))</f>
        <v/>
      </c>
    </row>
    <row r="251" ht="84" customHeight="1">
      <c r="A251" s="43" t="inlineStr">
        <is>
          <t>v2q-003-candidate-07</t>
        </is>
      </c>
      <c r="B251" s="43" t="inlineStr">
        <is>
          <t>v2q-003</t>
        </is>
      </c>
      <c r="C251" s="43" t="inlineStr">
        <is>
          <t>What revised overdraft limit and RuPay accidental-insurance cover are stated for PMJDY?</t>
        </is>
      </c>
      <c r="D251" s="43" t="inlineStr">
        <is>
          <t>PMJDY states a revised overdraft limit of ₹10,000 and accidental-insurance cover of ₹2 lakh for RuPay cardholders.</t>
        </is>
      </c>
      <c r="E251" s="43" t="inlineStr">
        <is>
          <t>pilot-v2-doc-pm-kmy-guidelines-0016-4c964e587f94</t>
        </is>
      </c>
      <c r="F251" s="43" t="inlineStr">
        <is>
          <t>Pradhan Mantri Kisan Maan Dhan Yojana Operational Guidelines</t>
        </is>
      </c>
      <c r="G251" s="43" t="inlineStr">
        <is>
          <t>outstanding dues, along
         with interest of the rate as determined by the Government from time to time.
        (e) After  lapse  of  period  of  three  years from  the  date  of  last  unpaid
          contribution, SMS alerts / notices would be stopped. However, Subscriber may
       make inquiries about status of his account through dedicated call centre or
       make on-line web inquires. He/she  will, however, be allowed to regularize
         his/her contribution by paying the entire outstanding dues, along with interest
          of the rate as determined by the Government from time to time.
          (f)  If a beneficiary becomes  ineligible  for the Pension under PM-KMY, his
        account will be active but Government’s contribution (50%) shall be stopped.  If
          beneficiary agrees to pay the entire amount of the contribution, he  will be
         allowed to operate the account.  At the age of 60, he shall be allowed to
        withdraw his contribution with an interest equivalent to the prevailing saving
        bank rates.
10.  COMMUTATION OF PENSION:
      There is no provision for commutation of pension under any circumstances.
11.   LIABILITY ON ACCOUNT OF DEFICIT IN FUND
The issue of liability on account of deficit in the fund maintained by LIC may be decided
after due deliberations between Finance Ministry and LIC.
12.  LEGAL RIGHTS TO SUBSCRIBERS:
A subscriber or his / her beneficiary of this Scheme shall have no interest in the Master
Policy taken out in respect of the subscribers or any investment otherwise made by the
Ministry in 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t>
        </is>
      </c>
      <c r="H251" s="49" t="inlineStr">
        <is>
          <t>0</t>
        </is>
      </c>
      <c r="I251" s="49" t="str"/>
      <c r="J251" s="55">
        <f>INT((ROW()-2)/50)+1</f>
        <v/>
      </c>
      <c r="K251" s="55">
        <f>IF(H251="","Pending",IF(OR(H251="0",H251="1",H251="2",H251="U"),"Complete","Invalid"))</f>
        <v/>
      </c>
    </row>
    <row r="252" ht="84" customHeight="1">
      <c r="A252" s="43" t="inlineStr">
        <is>
          <t>v2q-014-candidate-04</t>
        </is>
      </c>
      <c r="B252" s="43" t="inlineStr">
        <is>
          <t>v2q-014</t>
        </is>
      </c>
      <c r="C252" s="43" t="inlineStr">
        <is>
          <t>Under the national ration programme, what monthly cereal allocation goes to families in the poorest entitlement tier and to each person in the priority tier?</t>
        </is>
      </c>
      <c r="D252" s="43" t="inlineStr">
        <is>
          <t>AAY families receive 35 kilograms per family per month, while PHH beneficiaries receive 5 kilograms per person per month.</t>
        </is>
      </c>
      <c r="E252" s="43" t="inlineStr">
        <is>
          <t>pilot-v2-doc-pmay-u-0000-0b5e95b2690a</t>
        </is>
      </c>
      <c r="F252" s="43" t="inlineStr">
        <is>
          <t>Pradhan Mantri Awas Yojana - Urban</t>
        </is>
      </c>
      <c r="G252"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252" s="49" t="inlineStr">
        <is>
          <t>0</t>
        </is>
      </c>
      <c r="I252" s="49" t="str"/>
      <c r="J252" s="55">
        <f>INT((ROW()-2)/50)+1</f>
        <v/>
      </c>
      <c r="K252" s="55">
        <f>IF(H252="","Pending",IF(OR(H252="0",H252="1",H252="2",H252="U"),"Complete","Invalid"))</f>
        <v/>
      </c>
    </row>
    <row r="253" ht="84" customHeight="1">
      <c r="A253" s="43" t="inlineStr">
        <is>
          <t>v2q-029-candidate-11</t>
        </is>
      </c>
      <c r="B253" s="43" t="inlineStr">
        <is>
          <t>v2q-029</t>
        </is>
      </c>
      <c r="C253" s="43" t="inlineStr">
        <is>
          <t>What migrant-focused facility distinguishes Ujjwala 2.0, and what clean-cooking transition was established by its predecessor programme?</t>
        </is>
      </c>
      <c r="D253" s="43" t="inlineStr">
        <is>
          <t>Ujjwala 2.0 added 1.6 crore LPG connections with a special facility for migrant households. Its predecessor, Pradhan Mantri Ujjwala Yojana, sought to replace traditional cooking fuels with LPG access for rural and deprived households.</t>
        </is>
      </c>
      <c r="E253" s="43" t="inlineStr">
        <is>
          <t>pilot-v2-doc-pmkvy-sp-0000-0fc5cf1d7fb0</t>
        </is>
      </c>
      <c r="F253" s="43" t="inlineStr">
        <is>
          <t>Pradhan Mantri Kaushal Vikas Yojana 4.0- Special Projects</t>
        </is>
      </c>
      <c r="G253"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253" s="49" t="inlineStr">
        <is>
          <t>0</t>
        </is>
      </c>
      <c r="I253" s="49" t="str"/>
      <c r="J253" s="55">
        <f>INT((ROW()-2)/50)+1</f>
        <v/>
      </c>
      <c r="K253" s="55">
        <f>IF(H253="","Pending",IF(OR(H253="0",H253="1",H253="2",H253="U"),"Complete","Invalid"))</f>
        <v/>
      </c>
    </row>
    <row r="254" ht="84" customHeight="1">
      <c r="A254" s="43" t="inlineStr">
        <is>
          <t>v2q-018-candidate-14</t>
        </is>
      </c>
      <c r="B254" s="43" t="inlineStr">
        <is>
          <t>v2q-018</t>
        </is>
      </c>
      <c r="C254" s="43" t="inlineStr">
        <is>
          <t>Which initiative helps city households across officially defined lower and middle income bands obtain permanent homes?</t>
        </is>
      </c>
      <c r="D254" s="43" t="inlineStr">
        <is>
          <t>Pradhan Mantri Awas Yojana–Urban addresses urban housing shortages and supports eligible EWS, LIG, and MIG households, including slum dwellers.</t>
        </is>
      </c>
      <c r="E254" s="43" t="inlineStr">
        <is>
          <t>pilot-v2-doc-apy-0001-add48d27a4a2</t>
        </is>
      </c>
      <c r="F254" s="43" t="inlineStr">
        <is>
          <t>Atal Pension Yojana</t>
        </is>
      </c>
      <c r="G254"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254" s="49" t="inlineStr">
        <is>
          <t>0</t>
        </is>
      </c>
      <c r="I254" s="49" t="str"/>
      <c r="J254" s="55">
        <f>INT((ROW()-2)/50)+1</f>
        <v/>
      </c>
      <c r="K254" s="55">
        <f>IF(H254="","Pending",IF(OR(H254="0",H254="1",H254="2",H254="U"),"Complete","Invalid"))</f>
        <v/>
      </c>
    </row>
    <row r="255" ht="84" customHeight="1">
      <c r="A255" s="43" t="inlineStr">
        <is>
          <t>v2q-025-candidate-03</t>
        </is>
      </c>
      <c r="B255" s="43" t="inlineStr">
        <is>
          <t>v2q-025</t>
        </is>
      </c>
      <c r="C255" s="43" t="inlineStr">
        <is>
          <t>What banking function does PMJDY provide, and which other programme from its ministry finances income-generating micro-enterprises?</t>
        </is>
      </c>
      <c r="D255" s="43" t="inlineStr">
        <is>
          <t>PMJDY provides universal banking services for unbanked households. PMMY, under the same Ministry of Finance, provides micro-credit for income-generating micro-enterprises.</t>
        </is>
      </c>
      <c r="E255" s="43" t="inlineStr">
        <is>
          <t>pilot-v2-doc-pmfby-0000-d9ad07736d66</t>
        </is>
      </c>
      <c r="F255" s="43" t="inlineStr">
        <is>
          <t>Pradhan Mantri Fasal Bima Yojna (PMFBY)</t>
        </is>
      </c>
      <c r="G255"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255" s="49" t="inlineStr">
        <is>
          <t>0</t>
        </is>
      </c>
      <c r="I255" s="49" t="str"/>
      <c r="J255" s="55">
        <f>INT((ROW()-2)/50)+1</f>
        <v/>
      </c>
      <c r="K255" s="55">
        <f>IF(H255="","Pending",IF(OR(H255="0",H255="1",H255="2",H255="U"),"Complete","Invalid"))</f>
        <v/>
      </c>
    </row>
    <row r="256" ht="84" customHeight="1">
      <c r="A256" s="43" t="inlineStr">
        <is>
          <t>v2q-018-candidate-04</t>
        </is>
      </c>
      <c r="B256" s="43" t="inlineStr">
        <is>
          <t>v2q-018</t>
        </is>
      </c>
      <c r="C256" s="43" t="inlineStr">
        <is>
          <t>Which initiative helps city households across officially defined lower and middle income bands obtain permanent homes?</t>
        </is>
      </c>
      <c r="D256" s="43" t="inlineStr">
        <is>
          <t>Pradhan Mantri Awas Yojana–Urban addresses urban housing shortages and supports eligible EWS, LIG, and MIG households, including slum dwellers.</t>
        </is>
      </c>
      <c r="E256" s="43" t="inlineStr">
        <is>
          <t>pilot-v2-doc-pm-janman-0002-d0844e3327b6</t>
        </is>
      </c>
      <c r="F256" s="43" t="inlineStr">
        <is>
          <t>PM Janjati Adivasi Nyaya Maha Abhiyan (PM JANMAN)</t>
        </is>
      </c>
      <c r="G256"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256" s="49" t="inlineStr">
        <is>
          <t>0</t>
        </is>
      </c>
      <c r="I256" s="49" t="str"/>
      <c r="J256" s="55">
        <f>INT((ROW()-2)/50)+1</f>
        <v/>
      </c>
      <c r="K256" s="55">
        <f>IF(H256="","Pending",IF(OR(H256="0",H256="1",H256="2",H256="U"),"Complete","Invalid"))</f>
        <v/>
      </c>
    </row>
    <row r="257" ht="84" customHeight="1">
      <c r="A257" s="43" t="inlineStr">
        <is>
          <t>v2q-009-candidate-19</t>
        </is>
      </c>
      <c r="B257" s="43" t="inlineStr">
        <is>
          <t>v2q-009</t>
        </is>
      </c>
      <c r="C257" s="43" t="inlineStr">
        <is>
          <t>What does APY stand for, and what monthly pension range does it guarantee after age 60?</t>
        </is>
      </c>
      <c r="D257" s="43" t="inlineStr">
        <is>
          <t>APY stands for Atal Pension Yojana and offers guaranteed monthly pension options from ₹1,000 to ₹5,000 after age 60.</t>
        </is>
      </c>
      <c r="E257" s="43" t="inlineStr">
        <is>
          <t>pilot-v2-doc-pmmy-0000-70a89ee32765</t>
        </is>
      </c>
      <c r="F257" s="43" t="inlineStr">
        <is>
          <t>Pradhan Mantri Mudra Yojana</t>
        </is>
      </c>
      <c r="G257"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257" s="49" t="inlineStr">
        <is>
          <t>0</t>
        </is>
      </c>
      <c r="I257" s="49" t="str"/>
      <c r="J257" s="55">
        <f>INT((ROW()-2)/50)+1</f>
        <v/>
      </c>
      <c r="K257" s="55">
        <f>IF(H257="","Pending",IF(OR(H257="0",H257="1",H257="2",H257="U"),"Complete","Invalid"))</f>
        <v/>
      </c>
    </row>
    <row r="258" ht="84" customHeight="1">
      <c r="A258" s="43" t="inlineStr">
        <is>
          <t>v2q-013-candidate-13</t>
        </is>
      </c>
      <c r="B258" s="43" t="inlineStr">
        <is>
          <t>v2q-013</t>
        </is>
      </c>
      <c r="C258" s="43" t="inlineStr">
        <is>
          <t>Which initiative helps women in low-income countryside homes replace smoke-producing solid cooking materials with bottled gas?</t>
        </is>
      </c>
      <c r="D258" s="43" t="inlineStr">
        <is>
          <t>Pradhan Mantri Ujjwala Yojana provides LPG access to rural and deprived households that previously relied on traditional cooking fuels.</t>
        </is>
      </c>
      <c r="E258" s="43" t="inlineStr">
        <is>
          <t>pilot-v2-doc-pmuy-0000-ad06c0c09d46</t>
        </is>
      </c>
      <c r="F258" s="43" t="inlineStr">
        <is>
          <t>Pradhan Mantri Ujjwala Yojana</t>
        </is>
      </c>
      <c r="G258"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258" s="49" t="inlineStr">
        <is>
          <t>2</t>
        </is>
      </c>
      <c r="I258" s="49" t="str"/>
      <c r="J258" s="55">
        <f>INT((ROW()-2)/50)+1</f>
        <v/>
      </c>
      <c r="K258" s="55">
        <f>IF(H258="","Pending",IF(OR(H258="0",H258="1",H258="2",H258="U"),"Complete","Invalid"))</f>
        <v/>
      </c>
    </row>
    <row r="259" ht="84" customHeight="1">
      <c r="A259" s="43" t="inlineStr">
        <is>
          <t>v2q-015-candidate-13</t>
        </is>
      </c>
      <c r="B259" s="43" t="inlineStr">
        <is>
          <t>v2q-015</t>
        </is>
      </c>
      <c r="C259" s="43" t="inlineStr">
        <is>
          <t>Which initiative helps job-seekers and established craftspeople launch small businesses outside agriculture?</t>
        </is>
      </c>
      <c r="D259" s="43" t="inlineStr">
        <is>
          <t>The Prime Minister's Employment Generation Programme supports new micro-enterprises to create self-employment for traditional artisans, unemployed youth, and other eligible beneficiaries.</t>
        </is>
      </c>
      <c r="E259" s="43" t="inlineStr">
        <is>
          <t>pilot-v2-doc-pm-svanidhi-0000-f6024bb09ca5</t>
        </is>
      </c>
      <c r="F259" s="43" t="inlineStr">
        <is>
          <t>PM Street Vendor’s AtmaNirbhar Nidhi (PM SVANidhi)</t>
        </is>
      </c>
      <c r="G259"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259" s="49" t="inlineStr">
        <is>
          <t>0</t>
        </is>
      </c>
      <c r="I259" s="49" t="str"/>
      <c r="J259" s="55">
        <f>INT((ROW()-2)/50)+1</f>
        <v/>
      </c>
      <c r="K259" s="55">
        <f>IF(H259="","Pending",IF(OR(H259="0",H259="1",H259="2",H259="U"),"Complete","Invalid"))</f>
        <v/>
      </c>
    </row>
    <row r="260" ht="84" customHeight="1">
      <c r="A260" s="43" t="inlineStr">
        <is>
          <t>v2q-033-candidate-09</t>
        </is>
      </c>
      <c r="B260" s="43" t="inlineStr">
        <is>
          <t>v2q-033</t>
        </is>
      </c>
      <c r="C260" s="43" t="inlineStr">
        <is>
          <t>How do three programmes support micro-enterprises, new enterprise creation, and street-vendor livelihoods through different financial mechanisms?</t>
        </is>
      </c>
      <c r="D260" s="43" t="inlineStr">
        <is>
          <t>PMMY provides micro-credit to eligible micro-enterprises; PMEGP uses a credit-linked subsidy to establish new micro-enterprises; PM SVANidhi provides street vendors collateral-free working-capital loans, interest subsidy, and digital-payment incentives.</t>
        </is>
      </c>
      <c r="E260" s="43" t="inlineStr">
        <is>
          <t>pilot-v2-doc-pmmy-0000-70a89ee32765</t>
        </is>
      </c>
      <c r="F260" s="43" t="inlineStr">
        <is>
          <t>Pradhan Mantri Mudra Yojana</t>
        </is>
      </c>
      <c r="G260"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260" s="49" t="inlineStr">
        <is>
          <t>2</t>
        </is>
      </c>
      <c r="I260" s="49" t="str"/>
      <c r="J260" s="55">
        <f>INT((ROW()-2)/50)+1</f>
        <v/>
      </c>
      <c r="K260" s="55">
        <f>IF(H260="","Pending",IF(OR(H260="0",H260="1",H260="2",H260="U"),"Complete","Invalid"))</f>
        <v/>
      </c>
    </row>
    <row r="261" ht="84" customHeight="1">
      <c r="A261" s="43" t="inlineStr">
        <is>
          <t>v2q-023-candidate-12</t>
        </is>
      </c>
      <c r="B261" s="43" t="inlineStr">
        <is>
          <t>v2q-023</t>
        </is>
      </c>
      <c r="C261" s="43" t="inlineStr">
        <is>
          <t>What role does a Gram Panchayat play when a household registers for MGNREGA?</t>
        </is>
      </c>
      <c r="D261" s="43" t="inlineStr">
        <is>
          <t>A household may apply through its local Gram Panchayat, which verifies residence, household identity, and adult membership details.</t>
        </is>
      </c>
      <c r="E261" s="43" t="inlineStr">
        <is>
          <t>pilot-v2-doc-mgnrega-0002-bbbce5f319d4</t>
        </is>
      </c>
      <c r="F261" s="43" t="inlineStr">
        <is>
          <t>Mahatma Gandhi National Rural Employment Guarantee Act</t>
        </is>
      </c>
      <c r="G261"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261" s="49" t="inlineStr">
        <is>
          <t>2</t>
        </is>
      </c>
      <c r="I261" s="49" t="str"/>
      <c r="J261" s="55">
        <f>INT((ROW()-2)/50)+1</f>
        <v/>
      </c>
      <c r="K261" s="55">
        <f>IF(H261="","Pending",IF(OR(H261="0",H261="1",H261="2",H261="U"),"Complete","Invalid"))</f>
        <v/>
      </c>
    </row>
    <row r="262" ht="84" customHeight="1">
      <c r="A262" s="43" t="inlineStr">
        <is>
          <t>v2q-024-candidate-22</t>
        </is>
      </c>
      <c r="B262" s="43" t="inlineStr">
        <is>
          <t>v2q-024</t>
        </is>
      </c>
      <c r="C262" s="43" t="inlineStr">
        <is>
          <t>Which national health-assurance programme does NHA implement under the health ministry?</t>
        </is>
      </c>
      <c r="D262" s="43" t="inlineStr">
        <is>
          <t>The National Health Authority implements AB-PMJAY under the Ministry of Health and Family Welfare.</t>
        </is>
      </c>
      <c r="E262" s="43" t="inlineStr">
        <is>
          <t>pilot-v2-doc-pm-janman-0001-0deee4377b38</t>
        </is>
      </c>
      <c r="F262" s="43" t="inlineStr">
        <is>
          <t>PM Janjati Adivasi Nyaya Maha Abhiyan (PM JANMAN)</t>
        </is>
      </c>
      <c r="G262"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262" s="49" t="inlineStr">
        <is>
          <t>0</t>
        </is>
      </c>
      <c r="I262" s="49" t="str"/>
      <c r="J262" s="55">
        <f>INT((ROW()-2)/50)+1</f>
        <v/>
      </c>
      <c r="K262" s="55">
        <f>IF(H262="","Pending",IF(OR(H262="0",H262="1",H262="2",H262="U"),"Complete","Invalid"))</f>
        <v/>
      </c>
    </row>
    <row r="263" ht="84" customHeight="1">
      <c r="A263" s="43" t="inlineStr">
        <is>
          <t>v2q-006-candidate-11</t>
        </is>
      </c>
      <c r="B263" s="43" t="inlineStr">
        <is>
          <t>v2q-006</t>
        </is>
      </c>
      <c r="C263" s="43" t="inlineStr">
        <is>
          <t>What annual hospitalisation cover does AB-PMJAY provide per eligible family?</t>
        </is>
      </c>
      <c r="D263" s="43" t="inlineStr">
        <is>
          <t>AB-PMJAY provides cashless hospitalisation cover of ₹5 lakh per family per year for secondary and tertiary healthcare.</t>
        </is>
      </c>
      <c r="E263" s="43" t="inlineStr">
        <is>
          <t>pilot-v2-doc-pm-kisan-guidelines-0003-8f87fe11bcaf</t>
        </is>
      </c>
      <c r="F263" s="43" t="inlineStr">
        <is>
          <t>PM-KISAN Operational Guidelines</t>
        </is>
      </c>
      <c r="G263" s="43" t="inlineStr">
        <is>
          <t>during the financial year (2018-19) shall be
proportionate amount from date of transfer  till 31.03.2019 with respect to the 4 months
period.
5.3.1  In cases where the land records have not been updated for rights accruing due to
succession on account of the death of land owners before 01.12.2018, such updation of
land records may be done by the States in a time bound manner.  The successors
                                         3
whose names are entered in land records for rights accrued as aforementioned shall be
eligible subject to fulfilment of other conditions of the Scheme and the exclusion
clauses.
5.3.2 Clause 5.3  of the Operational Guidelines, which provides  for proportionate
amount of financial benefit under the scheme to be transferred in the bank accounts of
the beneficiaries  in cases involving transfer  of ownership between 01.12.2018  to
31.01.2019, shall remain applicable to the cases of succession as well which is clear
from the wording of the said clause.
5.3.3 Subsequent to 01.02.2019, there could be change in ownership due to the
following reasons:-
           i)     Transfer of ownership due to inheritance resulting out of death of the land
            owner. In such cases the family of the successors would be entitled to the
              benefits, if otherwise eligible as per scheme guidelines.
            ii)     In cases of cultivable land transferred to other persons through Sale Deed,
               Partition Deed, Gift Deed, etc., the transferee will not be eligible under the
          Scheme as he / she was not the land owner as on 01.02.2019. However,
               in such cases even the transferor of the land will become ineligible if the
              family of the transferor does not have any cultivable land subsequent to
           such a transfer.
5.3.4 The State Governments have to put in place the administrative mechanism
based on their existing land revenue administrative regime to take care of formulations.
There</t>
        </is>
      </c>
      <c r="H263" s="49" t="inlineStr">
        <is>
          <t>0</t>
        </is>
      </c>
      <c r="I263" s="49" t="str"/>
      <c r="J263" s="55">
        <f>INT((ROW()-2)/50)+1</f>
        <v/>
      </c>
      <c r="K263" s="55">
        <f>IF(H263="","Pending",IF(OR(H263="0",H263="1",H263="2",H263="U"),"Complete","Invalid"))</f>
        <v/>
      </c>
    </row>
    <row r="264" ht="84" customHeight="1">
      <c r="A264" s="43" t="inlineStr">
        <is>
          <t>v2q-017-candidate-12</t>
        </is>
      </c>
      <c r="B264" s="43" t="inlineStr">
        <is>
          <t>v2q-017</t>
        </is>
      </c>
      <c r="C264" s="43" t="inlineStr">
        <is>
          <t>Which training route serves people no longer in education or work who need an initial occupational skill?</t>
        </is>
      </c>
      <c r="D264" s="43" t="inlineStr">
        <is>
          <t>PMKVY 4.0 Short-Term Training provides fresh skilling, reskilling, or upskilling for groups including school or college dropouts and unemployed youth.</t>
        </is>
      </c>
      <c r="E264" s="43" t="inlineStr">
        <is>
          <t>pilot-v2-doc-pmkvy-sp-0003-738795a9ef96</t>
        </is>
      </c>
      <c r="F264" s="43" t="inlineStr">
        <is>
          <t>Pradhan Mantri Kaushal Vikas Yojana 4.0- Special Projects</t>
        </is>
      </c>
      <c r="G264"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264" s="49" t="inlineStr">
        <is>
          <t>1</t>
        </is>
      </c>
      <c r="I264" s="49" t="str"/>
      <c r="J264" s="55">
        <f>INT((ROW()-2)/50)+1</f>
        <v/>
      </c>
      <c r="K264" s="55">
        <f>IF(H264="","Pending",IF(OR(H264="0",H264="1",H264="2",H264="U"),"Complete","Invalid"))</f>
        <v/>
      </c>
    </row>
    <row r="265" ht="84" customHeight="1">
      <c r="A265" s="43" t="inlineStr">
        <is>
          <t>v2q-012-candidate-25</t>
        </is>
      </c>
      <c r="B265" s="43" t="inlineStr">
        <is>
          <t>v2q-012</t>
        </is>
      </c>
      <c r="C265" s="43" t="inlineStr">
        <is>
          <t>What does PM SVANidhi stand for, and who is its intended beneficiary group?</t>
        </is>
      </c>
      <c r="D265" s="43" t="inlineStr">
        <is>
          <t>PM SVANidhi stands for PM Street Vendor’s AtmaNirbhar Nidhi and supports street vendors through working-capital and related incentives.</t>
        </is>
      </c>
      <c r="E265" s="43" t="inlineStr">
        <is>
          <t>pilot-v2-doc-apy-0000-c43dd88d7899</t>
        </is>
      </c>
      <c r="F265" s="43" t="inlineStr">
        <is>
          <t>Atal Pension Yojana</t>
        </is>
      </c>
      <c r="G265"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265" s="49" t="inlineStr">
        <is>
          <t>0</t>
        </is>
      </c>
      <c r="I265" s="49" t="str"/>
      <c r="J265" s="55">
        <f>INT((ROW()-2)/50)+1</f>
        <v/>
      </c>
      <c r="K265" s="55">
        <f>IF(H265="","Pending",IF(OR(H265="0",H265="1",H265="2",H265="U"),"Complete","Invalid"))</f>
        <v/>
      </c>
    </row>
    <row r="266" ht="84" customHeight="1">
      <c r="A266" s="43" t="inlineStr">
        <is>
          <t>v2q-034-candidate-13</t>
        </is>
      </c>
      <c r="B266" s="43" t="inlineStr">
        <is>
          <t>v2q-034</t>
        </is>
      </c>
      <c r="C266" s="43" t="inlineStr">
        <is>
          <t>How do three programmes meet distinct household needs for rural housing, clean cooking, and food security?</t>
        </is>
      </c>
      <c r="D266" s="43" t="inlineStr">
        <is>
          <t>PMAY-G supports pucca rural housing with basic amenities; PMUY provides LPG access to deprived households replacing traditional cooking fuels; PMGKAY provides free foodgrains to eligible AAY and PHH ration-card holders.</t>
        </is>
      </c>
      <c r="E266" s="43" t="inlineStr">
        <is>
          <t>pilot-v2-doc-pm-janman-0002-d0844e3327b6</t>
        </is>
      </c>
      <c r="F266" s="43" t="inlineStr">
        <is>
          <t>PM Janjati Adivasi Nyaya Maha Abhiyan (PM JANMAN)</t>
        </is>
      </c>
      <c r="G266"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266" s="49" t="inlineStr">
        <is>
          <t>0</t>
        </is>
      </c>
      <c r="I266" s="49" t="str"/>
      <c r="J266" s="55">
        <f>INT((ROW()-2)/50)+1</f>
        <v/>
      </c>
      <c r="K266" s="55">
        <f>IF(H266="","Pending",IF(OR(H266="0",H266="1",H266="2",H266="U"),"Complete","Invalid"))</f>
        <v/>
      </c>
    </row>
    <row r="267" ht="84" customHeight="1">
      <c r="A267" s="43" t="inlineStr">
        <is>
          <t>v2q-007-candidate-15</t>
        </is>
      </c>
      <c r="B267" s="43" t="inlineStr">
        <is>
          <t>v2q-007</t>
        </is>
      </c>
      <c r="C267" s="43" t="inlineStr">
        <is>
          <t>What is the full form of PMJJBY, and which event does its life insurance cover?</t>
        </is>
      </c>
      <c r="D267" s="43" t="inlineStr">
        <is>
          <t>PMJJBY stands for Pradhan Mantri Jeevan Jyoti Bima Yojana and provides life-insurance cover for death due to any reason.</t>
        </is>
      </c>
      <c r="E267" s="43" t="inlineStr">
        <is>
          <t>pilot-v2-doc-pmfby-0000-d9ad07736d66</t>
        </is>
      </c>
      <c r="F267" s="43" t="inlineStr">
        <is>
          <t>Pradhan Mantri Fasal Bima Yojna (PMFBY)</t>
        </is>
      </c>
      <c r="G267"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267" s="49" t="inlineStr">
        <is>
          <t>0</t>
        </is>
      </c>
      <c r="I267" s="49" t="str"/>
      <c r="J267" s="55">
        <f>INT((ROW()-2)/50)+1</f>
        <v/>
      </c>
      <c r="K267" s="55">
        <f>IF(H267="","Pending",IF(OR(H267="0",H267="1",H267="2",H267="U"),"Complete","Invalid"))</f>
        <v/>
      </c>
    </row>
    <row r="268" ht="84" customHeight="1">
      <c r="A268" s="43" t="inlineStr">
        <is>
          <t>v2q-001-candidate-16</t>
        </is>
      </c>
      <c r="B268" s="43" t="inlineStr">
        <is>
          <t>v2q-001</t>
        </is>
      </c>
      <c r="C268" s="43" t="inlineStr">
        <is>
          <t>What is the minimum house size specified under PMAY-G?</t>
        </is>
      </c>
      <c r="D268" s="43" t="inlineStr">
        <is>
          <t>The minimum house size is 25 square metres, including a dedicated hygienic cooking area.</t>
        </is>
      </c>
      <c r="E268" s="43" t="inlineStr">
        <is>
          <t>pilot-v2-doc-ab-pmjay-0003-1242266bb260</t>
        </is>
      </c>
      <c r="F268" s="43" t="inlineStr">
        <is>
          <t>Ayushman Bharat - Pradhan Mantri Jan Arogya Yojana</t>
        </is>
      </c>
      <c r="G268"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268" s="49" t="inlineStr">
        <is>
          <t>0</t>
        </is>
      </c>
      <c r="I268" s="49" t="str"/>
      <c r="J268" s="55">
        <f>INT((ROW()-2)/50)+1</f>
        <v/>
      </c>
      <c r="K268" s="55">
        <f>IF(H268="","Pending",IF(OR(H268="0",H268="1",H268="2",H268="U"),"Complete","Invalid"))</f>
        <v/>
      </c>
    </row>
    <row r="269" ht="84" customHeight="1">
      <c r="A269" s="43" t="inlineStr">
        <is>
          <t>v2q-021-candidate-03</t>
        </is>
      </c>
      <c r="B269" s="43" t="inlineStr">
        <is>
          <t>v2q-021</t>
        </is>
      </c>
      <c r="C269" s="43" t="inlineStr">
        <is>
          <t>How do insurance companies and banks participate in PMFBY?</t>
        </is>
      </c>
      <c r="D269" s="43" t="inlineStr">
        <is>
          <t>PMFBY is implemented through a network of insurance companies and banks to provide crop-insurance protection to farmers.</t>
        </is>
      </c>
      <c r="E269" s="43" t="inlineStr">
        <is>
          <t>pilot-v2-doc-pm-kmy-guidelines-0004-79b3bf95bb65</t>
        </is>
      </c>
      <c r="F269" s="43" t="inlineStr">
        <is>
          <t>Pradhan Mantri Kisan Maan Dhan Yojana Operational Guidelines</t>
        </is>
      </c>
      <c r="G269"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269" s="49" t="inlineStr">
        <is>
          <t>0</t>
        </is>
      </c>
      <c r="I269" s="49" t="str"/>
      <c r="J269" s="55">
        <f>INT((ROW()-2)/50)+1</f>
        <v/>
      </c>
      <c r="K269" s="55">
        <f>IF(H269="","Pending",IF(OR(H269="0",H269="1",H269="2",H269="U"),"Complete","Invalid"))</f>
        <v/>
      </c>
    </row>
    <row r="270" ht="84" customHeight="1">
      <c r="A270" s="43" t="inlineStr">
        <is>
          <t>v2q-005-candidate-08</t>
        </is>
      </c>
      <c r="B270" s="43" t="inlineStr">
        <is>
          <t>v2q-005</t>
        </is>
      </c>
      <c r="C270" s="43" t="inlineStr">
        <is>
          <t>How many days of wage employment does MGNREGA guarantee a rural household in a financial year?</t>
        </is>
      </c>
      <c r="D270" s="43" t="inlineStr">
        <is>
          <t>MGNREGA guarantees at least 100 days of wage employment per financial year to a rural household whose adult members volunteer for unskilled work.</t>
        </is>
      </c>
      <c r="E270" s="43" t="inlineStr">
        <is>
          <t>pilot-v2-doc-mgnrega-0000-7e6d80b47566</t>
        </is>
      </c>
      <c r="F270" s="43" t="inlineStr">
        <is>
          <t>Mahatma Gandhi National Rural Employment Guarantee Act</t>
        </is>
      </c>
      <c r="G270"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270" s="49" t="inlineStr">
        <is>
          <t>2</t>
        </is>
      </c>
      <c r="I270" s="49" t="str"/>
      <c r="J270" s="55">
        <f>INT((ROW()-2)/50)+1</f>
        <v/>
      </c>
      <c r="K270" s="55">
        <f>IF(H270="","Pending",IF(OR(H270="0",H270="1",H270="2",H270="U"),"Complete","Invalid"))</f>
        <v/>
      </c>
    </row>
    <row r="271" ht="84" customHeight="1">
      <c r="A271" s="43" t="inlineStr">
        <is>
          <t>v2q-011-candidate-11</t>
        </is>
      </c>
      <c r="B271" s="43" t="inlineStr">
        <is>
          <t>v2q-011</t>
        </is>
      </c>
      <c r="C271" s="43" t="inlineStr">
        <is>
          <t>What does PM JANMAN stand for, and which communities does it target?</t>
        </is>
      </c>
      <c r="D271" s="43" t="inlineStr">
        <is>
          <t>PM JANMAN stands for PM Janjati Adivasi Nyaya Maha Abhiyan and targets Particularly Vulnerable Tribal Groups.</t>
        </is>
      </c>
      <c r="E271" s="43" t="inlineStr">
        <is>
          <t>pilot-v2-doc-pm-kisan-guidelines-0009-4b2b66f9fbc9</t>
        </is>
      </c>
      <c r="F271" s="43" t="inlineStr">
        <is>
          <t>PM-KISAN Operational Guidelines</t>
        </is>
      </c>
      <c r="G271" s="43" t="inlineStr">
        <is>
          <t>can use the beneficiary Aadhaar number and other
information provided in the declaration to verify the  eligibility of the beneficiary for
scheme as per extant scheme guidelines with the concerned agencies”.
6.3   The existing land-ownership system in the concerned State / UT will be used for
identification of beneficiaries. Accordingly,  it  is of utmost importance that the land
records are clear and updated. Further, State / UT Governments would also expedite
                                         6
the progress of digitization of the land records and linking the same with Aadhaar as
well as bank details of the beneficiaries.
6.4   The lists of eligible beneficiaries would be published at the village level. Farmers’
families who are eligible but have been excluded should be provided an opportunity to
represent their case.
7.    Review, Monitoring and Grievance Redressal Mechanism
7.1   There will be stratified review  / monitoring mechanism at National, State and
District Level. At the National level, the Review Committee will be headed by Cabinet
Secretary. The States shall notify the State and District Level Review  / Monitoring
Committee.
7.2   The States  shall also  notify State and  District Level Grievance Redressal
Monitoring Committees for looking into all the grievances related to implementation of
the scheme. Any grievances or complaints which are received should be disposed off
on merit preferably within two weeks time.
8.    Setting up of Project Monitoring Unit (PMU)
8.1  A Project Monitoring Unit (PMU) at Central level will be set up in the 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t>
        </is>
      </c>
      <c r="H271" s="49" t="inlineStr">
        <is>
          <t>0</t>
        </is>
      </c>
      <c r="I271" s="49" t="str"/>
      <c r="J271" s="55">
        <f>INT((ROW()-2)/50)+1</f>
        <v/>
      </c>
      <c r="K271" s="55">
        <f>IF(H271="","Pending",IF(OR(H271="0",H271="1",H271="2",H271="U"),"Complete","Invalid"))</f>
        <v/>
      </c>
    </row>
    <row r="272" ht="84" customHeight="1">
      <c r="A272" s="43" t="inlineStr">
        <is>
          <t>v2q-009-candidate-10</t>
        </is>
      </c>
      <c r="B272" s="43" t="inlineStr">
        <is>
          <t>v2q-009</t>
        </is>
      </c>
      <c r="C272" s="43" t="inlineStr">
        <is>
          <t>What does APY stand for, and what monthly pension range does it guarantee after age 60?</t>
        </is>
      </c>
      <c r="D272" s="43" t="inlineStr">
        <is>
          <t>APY stands for Atal Pension Yojana and offers guaranteed monthly pension options from ₹1,000 to ₹5,000 after age 60.</t>
        </is>
      </c>
      <c r="E272" s="43" t="inlineStr">
        <is>
          <t>pilot-v2-doc-pm-kmy-guidelines-0007-64fd9c6362ca</t>
        </is>
      </c>
      <c r="F272" s="43" t="inlineStr">
        <is>
          <t>Pradhan Mantri Kisan Maan Dhan Yojana Operational Guidelines</t>
        </is>
      </c>
      <c r="G272" s="43" t="inlineStr">
        <is>
          <t>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 Pension Fund.
(xii)  In case of death of subscriber before vesting date, if the spouse does not exercise
option of continuing under the scheme, then subscribers’ contributions along with fund
                                               5
interest earned or Savings Bank Interest whichever is higher would be payable to the
spouse under the scheme.
(xiii) In case of death of subscriber before vesting date,  if there is no spouse, then
subscribers’ contributions along with fund interest earned or Savings Bank Interest,
whichever  is higher, would be payable to the nominee/s under the scheme. The co-
contributions made by Government along with fund interest earned after adjusting for
difference between Savings Bank Interest payable and fund interest earned, if any will be
credited back to Pension fund of Government.
(xiv)  If a subscriber dies after the date of vesting, his/her spouse shall be entitled to
receive  fifty per cent of the pension received by such  eligible subscriber as Family
Pension, provided she/he is not already an SMF beneficiary of the Scheme, and such
family pension shall be applicable only to the spouse.
(xv)  After death of subscriber as well as of his/her spouse, the corpus  i.e.  total
accumulated contributions made by the subscriber and the Government shall be credited
back to the fund.
(xvi)  The Eligible SMFs desirous of joining the scheme shall  visit nearest Common
Service Centre (CSC) along with his Aadhaar card and bank passbook or account details.
(xvii) The Village Level Entrepreneur (VLE)</t>
        </is>
      </c>
      <c r="H272" s="49" t="inlineStr">
        <is>
          <t>0</t>
        </is>
      </c>
      <c r="I272" s="49" t="str"/>
      <c r="J272" s="55">
        <f>INT((ROW()-2)/50)+1</f>
        <v/>
      </c>
      <c r="K272" s="55">
        <f>IF(H272="","Pending",IF(OR(H272="0",H272="1",H272="2",H272="U"),"Complete","Invalid"))</f>
        <v/>
      </c>
    </row>
    <row r="273" ht="84" customHeight="1">
      <c r="A273" s="43" t="inlineStr">
        <is>
          <t>v2q-023-candidate-06</t>
        </is>
      </c>
      <c r="B273" s="43" t="inlineStr">
        <is>
          <t>v2q-023</t>
        </is>
      </c>
      <c r="C273" s="43" t="inlineStr">
        <is>
          <t>What role does a Gram Panchayat play when a household registers for MGNREGA?</t>
        </is>
      </c>
      <c r="D273" s="43" t="inlineStr">
        <is>
          <t>A household may apply through its local Gram Panchayat, which verifies residence, household identity, and adult membership details.</t>
        </is>
      </c>
      <c r="E273" s="43" t="inlineStr">
        <is>
          <t>pilot-v2-doc-pmkvy-stt-0003-3729a1c2e22c</t>
        </is>
      </c>
      <c r="F273" s="43" t="inlineStr">
        <is>
          <t>Pradhan Mantri Kaushal Vikas Yojana 4.0 - Short-Term Training</t>
        </is>
      </c>
      <c r="G273" s="43" t="inlineStr">
        <is>
          <t>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for training in the same sector, with the second time being for a higher NSQF-aligned job role only, and with a six-month gap between the certification date of the first course and the batch start date of the subsequent course.. Step 1: The applicant first registers on the Skill India Digital (SID) platform or the mobile application developed for the purpose; profile verification is completed through mobile-based OTP (eKYC), and a de-duplication check is carried out against the SID database to prevent re-enrolment in the same job role. Step 2: During registration, candidate profiling is done, with existing details fetched from other portals such as e-Shram and the National Career Services (NCS). Step 3: Online counselling is offered through SID to help the candidate select an appropriate course and Training Centre; the candidate may select the nearest Training Centre based on the availability of the preferred job role and the 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t>
        </is>
      </c>
      <c r="H273" s="49" t="inlineStr">
        <is>
          <t>0</t>
        </is>
      </c>
      <c r="I273" s="49" t="str"/>
      <c r="J273" s="55">
        <f>INT((ROW()-2)/50)+1</f>
        <v/>
      </c>
      <c r="K273" s="55">
        <f>IF(H273="","Pending",IF(OR(H273="0",H273="1",H273="2",H273="U"),"Complete","Invalid"))</f>
        <v/>
      </c>
    </row>
    <row r="274" ht="84" customHeight="1">
      <c r="A274" s="43" t="inlineStr">
        <is>
          <t>v2q-024-candidate-12</t>
        </is>
      </c>
      <c r="B274" s="43" t="inlineStr">
        <is>
          <t>v2q-024</t>
        </is>
      </c>
      <c r="C274" s="43" t="inlineStr">
        <is>
          <t>Which national health-assurance programme does NHA implement under the health ministry?</t>
        </is>
      </c>
      <c r="D274" s="43" t="inlineStr">
        <is>
          <t>The National Health Authority implements AB-PMJAY under the Ministry of Health and Family Welfare.</t>
        </is>
      </c>
      <c r="E274" s="43" t="inlineStr">
        <is>
          <t>pilot-v2-doc-pm-kmy-guidelines-0020-27037b9fe8a1</t>
        </is>
      </c>
      <c r="F274" s="43" t="inlineStr">
        <is>
          <t>Pradhan Mantri Kisan Maan Dhan Yojana Operational Guidelines</t>
        </is>
      </c>
      <c r="G274"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274" s="49" t="inlineStr">
        <is>
          <t>0</t>
        </is>
      </c>
      <c r="I274" s="49" t="str"/>
      <c r="J274" s="55">
        <f>INT((ROW()-2)/50)+1</f>
        <v/>
      </c>
      <c r="K274" s="55">
        <f>IF(H274="","Pending",IF(OR(H274="0",H274="1",H274="2",H274="U"),"Complete","Invalid"))</f>
        <v/>
      </c>
    </row>
    <row r="275" ht="84" customHeight="1">
      <c r="A275" s="43" t="inlineStr">
        <is>
          <t>v2q-028-candidate-14</t>
        </is>
      </c>
      <c r="B275" s="43" t="inlineStr">
        <is>
          <t>v2q-028</t>
        </is>
      </c>
      <c r="C275" s="43" t="inlineStr">
        <is>
          <t>What does PMKVY Recognition of Prior Learning certify, and which other pathway from its ministry serves candidates seeking fresh short-term skills training?</t>
        </is>
      </c>
      <c r="D275" s="43" t="inlineStr">
        <is>
          <t>PMKVY Recognition of Prior Learning certifies candidates’ existing skills. PMKVY Short-Term Training, under the same Ministry of Skill Development and Entrepreneurship, provides fresh skilling, reskilling, or upskilling.</t>
        </is>
      </c>
      <c r="E275" s="43" t="inlineStr">
        <is>
          <t>pilot-v2-doc-pmkvy-rpl-0001-9ccf0701dcf9</t>
        </is>
      </c>
      <c r="F275" s="43" t="inlineStr">
        <is>
          <t>Pradhan Mantri Kaushal Vikas Yojana 4.0 - Recognition Of Prior Learning</t>
        </is>
      </c>
      <c r="G275" s="43" t="inlineStr">
        <is>
          <t>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 at its own cost. A graded Skill Certificate and Marksheet on passing, with the grade awarded as Grade A (85% and above) or Grade B (70% to less than 85%). Conditions associated with the benefits: The pass percentage for a Qualification Pack (QP) is 70%; a candidate must achieve marks greater than or equal to 70% to be awarded the Skill Certificate. Marks scored in the Core National Occupational Standards (NOS) of a QP are given 70% weightage, and the remaining 30% weightage is from the Non-Core NOS. Certification is at the same NSQF level as determined during pre-screening. AEBAS-based compulsory attendance is applicable, and more than 70% biometric attendance is required to appear for the assessment. Indicative average unit (per-candidate) cost by RPL type RPL with upskilling (30 hours) at an Accredited and Affiliated Training Centre: ₹3,126.18 per candidate. RPL with upskilling (30 hours) at Industry premises: ₹2,826.18 per candidate. RPL with upskilling (60 hours) at an Accredited and Affiliated Training Centre: ₹3,962.88 per candidate. RPL with upskilling (60 hours) at Industry premises: ₹3,662.88 per candidate. (Note on the 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t>
        </is>
      </c>
      <c r="H275" s="49" t="inlineStr">
        <is>
          <t>2</t>
        </is>
      </c>
      <c r="I275" s="49" t="str"/>
      <c r="J275" s="55">
        <f>INT((ROW()-2)/50)+1</f>
        <v/>
      </c>
      <c r="K275" s="55">
        <f>IF(H275="","Pending",IF(OR(H275="0",H275="1",H275="2",H275="U"),"Complete","Invalid"))</f>
        <v/>
      </c>
    </row>
    <row r="276" ht="84" customHeight="1">
      <c r="A276" s="43" t="inlineStr">
        <is>
          <t>v2q-022-candidate-22</t>
        </is>
      </c>
      <c r="B276" s="43" t="inlineStr">
        <is>
          <t>v2q-022</t>
        </is>
      </c>
      <c r="C276" s="43" t="inlineStr">
        <is>
          <t>Which finance programme relies on Member Lending Institutions to extend assistance to non-corporate micro-enterprises?</t>
        </is>
      </c>
      <c r="D276" s="43" t="inlineStr">
        <is>
          <t>Eligible Member Lending Institutions extend PMMY financial assistance and provide the scheme’s micro-loans to qualifying micro and small enterprises.</t>
        </is>
      </c>
      <c r="E276" s="43" t="inlineStr">
        <is>
          <t>pilot-v2-doc-pmjdy-0000-8b241ec39723</t>
        </is>
      </c>
      <c r="F276" s="43" t="inlineStr">
        <is>
          <t>Pradhan Mantri Jan Dhan Yojana</t>
        </is>
      </c>
      <c r="G276"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276" s="49" t="inlineStr">
        <is>
          <t>0</t>
        </is>
      </c>
      <c r="I276" s="49" t="str"/>
      <c r="J276" s="55">
        <f>INT((ROW()-2)/50)+1</f>
        <v/>
      </c>
      <c r="K276" s="55">
        <f>IF(H276="","Pending",IF(OR(H276="0",H276="1",H276="2",H276="U"),"Complete","Invalid"))</f>
        <v/>
      </c>
    </row>
    <row r="277" ht="84" customHeight="1">
      <c r="A277" s="43" t="inlineStr">
        <is>
          <t>v2q-003-candidate-25</t>
        </is>
      </c>
      <c r="B277" s="43" t="inlineStr">
        <is>
          <t>v2q-003</t>
        </is>
      </c>
      <c r="C277" s="43" t="inlineStr">
        <is>
          <t>What revised overdraft limit and RuPay accidental-insurance cover are stated for PMJDY?</t>
        </is>
      </c>
      <c r="D277" s="43" t="inlineStr">
        <is>
          <t>PMJDY states a revised overdraft limit of ₹10,000 and accidental-insurance cover of ₹2 lakh for RuPay cardholders.</t>
        </is>
      </c>
      <c r="E277" s="43" t="inlineStr">
        <is>
          <t>pilot-v2-doc-pm-kisan-guidelines-0000-bbe94f08550e</t>
        </is>
      </c>
      <c r="F277" s="43" t="inlineStr">
        <is>
          <t>PM-KISAN Operational Guidelines</t>
        </is>
      </c>
      <c r="G277"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277" s="49" t="inlineStr">
        <is>
          <t>0</t>
        </is>
      </c>
      <c r="I277" s="49" t="str"/>
      <c r="J277" s="55">
        <f>INT((ROW()-2)/50)+1</f>
        <v/>
      </c>
      <c r="K277" s="55">
        <f>IF(H277="","Pending",IF(OR(H277="0",H277="1",H277="2",H277="U"),"Complete","Invalid"))</f>
        <v/>
      </c>
    </row>
    <row r="278" ht="84" customHeight="1">
      <c r="A278" s="43" t="inlineStr">
        <is>
          <t>v2q-025-candidate-17</t>
        </is>
      </c>
      <c r="B278" s="43" t="inlineStr">
        <is>
          <t>v2q-025</t>
        </is>
      </c>
      <c r="C278" s="43" t="inlineStr">
        <is>
          <t>What banking function does PMJDY provide, and which other programme from its ministry finances income-generating micro-enterprises?</t>
        </is>
      </c>
      <c r="D278" s="43" t="inlineStr">
        <is>
          <t>PMJDY provides universal banking services for unbanked households. PMMY, under the same Ministry of Finance, provides micro-credit for income-generating micro-enterprises.</t>
        </is>
      </c>
      <c r="E278" s="43" t="inlineStr">
        <is>
          <t>pilot-v2-doc-pm-kmy-guidelines-0021-7ce201d9d183</t>
        </is>
      </c>
      <c r="F278" s="43" t="inlineStr">
        <is>
          <t>Pradhan Mantri Kisan Maan Dhan Yojana Operational Guidelines</t>
        </is>
      </c>
      <c r="G278"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278" s="49" t="inlineStr">
        <is>
          <t>0</t>
        </is>
      </c>
      <c r="I278" s="49" t="str"/>
      <c r="J278" s="55">
        <f>INT((ROW()-2)/50)+1</f>
        <v/>
      </c>
      <c r="K278" s="55">
        <f>IF(H278="","Pending",IF(OR(H278="0",H278="1",H278="2",H278="U"),"Complete","Invalid"))</f>
        <v/>
      </c>
    </row>
    <row r="279" ht="84" customHeight="1">
      <c r="A279" s="43" t="inlineStr">
        <is>
          <t>v2q-007-candidate-13</t>
        </is>
      </c>
      <c r="B279" s="43" t="inlineStr">
        <is>
          <t>v2q-007</t>
        </is>
      </c>
      <c r="C279" s="43" t="inlineStr">
        <is>
          <t>What is the full form of PMJJBY, and which event does its life insurance cover?</t>
        </is>
      </c>
      <c r="D279" s="43" t="inlineStr">
        <is>
          <t>PMJJBY stands for Pradhan Mantri Jeevan Jyoti Bima Yojana and provides life-insurance cover for death due to any reason.</t>
        </is>
      </c>
      <c r="E279" s="43" t="inlineStr">
        <is>
          <t>pilot-v2-doc-pm-kmy-guidelines-0001-5d83566dbb68</t>
        </is>
      </c>
      <c r="F279" s="43" t="inlineStr">
        <is>
          <t>Pradhan Mantri Kisan Maan Dhan Yojana Operational Guidelines</t>
        </is>
      </c>
      <c r="G279"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279" s="49" t="inlineStr">
        <is>
          <t>0</t>
        </is>
      </c>
      <c r="I279" s="49" t="str"/>
      <c r="J279" s="55">
        <f>INT((ROW()-2)/50)+1</f>
        <v/>
      </c>
      <c r="K279" s="55">
        <f>IF(H279="","Pending",IF(OR(H279="0",H279="1",H279="2",H279="U"),"Complete","Invalid"))</f>
        <v/>
      </c>
    </row>
    <row r="280" ht="84" customHeight="1">
      <c r="A280" s="43" t="inlineStr">
        <is>
          <t>v2q-018-candidate-17</t>
        </is>
      </c>
      <c r="B280" s="43" t="inlineStr">
        <is>
          <t>v2q-018</t>
        </is>
      </c>
      <c r="C280" s="43" t="inlineStr">
        <is>
          <t>Which initiative helps city households across officially defined lower and middle income bands obtain permanent homes?</t>
        </is>
      </c>
      <c r="D280" s="43" t="inlineStr">
        <is>
          <t>Pradhan Mantri Awas Yojana–Urban addresses urban housing shortages and supports eligible EWS, LIG, and MIG households, including slum dwellers.</t>
        </is>
      </c>
      <c r="E280" s="43" t="inlineStr">
        <is>
          <t>pilot-v2-doc-ab-pmjay-0000-94c82a474579</t>
        </is>
      </c>
      <c r="F280" s="43" t="inlineStr">
        <is>
          <t>Ayushman Bharat - Pradhan Mantri Jan Arogya Yojana</t>
        </is>
      </c>
      <c r="G280"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280" s="49" t="inlineStr">
        <is>
          <t>0</t>
        </is>
      </c>
      <c r="I280" s="49" t="str"/>
      <c r="J280" s="55">
        <f>INT((ROW()-2)/50)+1</f>
        <v/>
      </c>
      <c r="K280" s="55">
        <f>IF(H280="","Pending",IF(OR(H280="0",H280="1",H280="2",H280="U"),"Complete","Invalid"))</f>
        <v/>
      </c>
    </row>
    <row r="281" ht="84" customHeight="1">
      <c r="A281" s="43" t="inlineStr">
        <is>
          <t>v2q-010-candidate-17</t>
        </is>
      </c>
      <c r="B281" s="43" t="inlineStr">
        <is>
          <t>v2q-010</t>
        </is>
      </c>
      <c r="C281" s="43" t="inlineStr">
        <is>
          <t>What is the full form of PM POSHAN, and what meal benefit does it provide?</t>
        </is>
      </c>
      <c r="D281" s="43" t="inlineStr">
        <is>
          <t>PM POSHAN means Prime Minister's Overarching Scheme for Holistic Nourishment and provides one hot cooked meal to children in government and government-aided schools.</t>
        </is>
      </c>
      <c r="E281" s="43" t="inlineStr">
        <is>
          <t>pilot-v2-doc-apy-0003-68e7199c9d14</t>
        </is>
      </c>
      <c r="F281" s="43" t="inlineStr">
        <is>
          <t>Atal Pension Yojana</t>
        </is>
      </c>
      <c r="G281"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281" s="49" t="inlineStr">
        <is>
          <t>0</t>
        </is>
      </c>
      <c r="I281" s="49" t="str"/>
      <c r="J281" s="55">
        <f>INT((ROW()-2)/50)+1</f>
        <v/>
      </c>
      <c r="K281" s="55">
        <f>IF(H281="","Pending",IF(OR(H281="0",H281="1",H281="2",H281="U"),"Complete","Invalid"))</f>
        <v/>
      </c>
    </row>
    <row r="282" ht="84" customHeight="1">
      <c r="A282" s="43" t="inlineStr">
        <is>
          <t>v2q-013-candidate-04</t>
        </is>
      </c>
      <c r="B282" s="43" t="inlineStr">
        <is>
          <t>v2q-013</t>
        </is>
      </c>
      <c r="C282" s="43" t="inlineStr">
        <is>
          <t>Which initiative helps women in low-income countryside homes replace smoke-producing solid cooking materials with bottled gas?</t>
        </is>
      </c>
      <c r="D282" s="43" t="inlineStr">
        <is>
          <t>Pradhan Mantri Ujjwala Yojana provides LPG access to rural and deprived households that previously relied on traditional cooking fuels.</t>
        </is>
      </c>
      <c r="E282" s="43" t="inlineStr">
        <is>
          <t>pilot-v2-doc-pmay-g-0002-e08c1e347071</t>
        </is>
      </c>
      <c r="F282" s="43" t="inlineStr">
        <is>
          <t>Pradhan Mantri Awaas Yojana - Gramin</t>
        </is>
      </c>
      <c r="G282"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282" s="49" t="inlineStr">
        <is>
          <t>1</t>
        </is>
      </c>
      <c r="I282" s="49" t="str"/>
      <c r="J282" s="55">
        <f>INT((ROW()-2)/50)+1</f>
        <v/>
      </c>
      <c r="K282" s="55">
        <f>IF(H282="","Pending",IF(OR(H282="0",H282="1",H282="2",H282="U"),"Complete","Invalid"))</f>
        <v/>
      </c>
    </row>
    <row r="283" ht="84" customHeight="1">
      <c r="A283" s="43" t="inlineStr">
        <is>
          <t>v2q-008-candidate-23</t>
        </is>
      </c>
      <c r="B283" s="43" t="inlineStr">
        <is>
          <t>v2q-008</t>
        </is>
      </c>
      <c r="C283" s="43" t="inlineStr">
        <is>
          <t>Which accident-insurance programme is abbreviated PMSBY, and which outcomes trigger its cover?</t>
        </is>
      </c>
      <c r="D283" s="43" t="inlineStr">
        <is>
          <t>PMSBY stands for Pradhan Mantri Suraksha Bima Yojana and covers accidental death and disability.</t>
        </is>
      </c>
      <c r="E283" s="43" t="inlineStr">
        <is>
          <t>pilot-v2-doc-pm-kisan-guidelines-0006-11a173d99b65</t>
        </is>
      </c>
      <c r="F283" s="43" t="inlineStr">
        <is>
          <t>PM-KISAN Operational Guidelines</t>
        </is>
      </c>
      <c r="G283" s="43" t="inlineStr">
        <is>
          <t>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 shall be authenticated by the concerned sub-divisional officers.
All the exclusions under the Operational Guidelines will be applicable.”
5.5.2 For identification of bona fide beneficiary under PM-Kisan Scheme in Nagaland,
the following procedure was approved by the Committee:
   1) In case of community owned cultivable land in the state of Nagaland which is
      under permanent cultivation, for identification of beneficiaries under PM-KISAN,
      the certificate issued by the village council/authority/village chieftan  regarding
      land holding, duly verified by the administrative head of the circle/sub-division
     and countersigned by the Deputy Commissioner of the  District shall suffice
       subject to the exclusions under the operational guidelines.
   2) In case of cultivable land in the State of Nagaland which is categorised as Jhum
      land as per definition under Section–2(7) of the Nagaland Jhum Land Act, 1970
     and which is owned by the community/clan/village council/village chieftan, the
        identification of beneficiaries under PM-Kisan scheme, shall be on the basis of
        certification of land holding by the village council/chief/head of the village, duly
       verified by the administrative head of the circle/sub division and countersigned by
      the Deputy Commissioner  of  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t>
        </is>
      </c>
      <c r="H283" s="49" t="inlineStr">
        <is>
          <t>0</t>
        </is>
      </c>
      <c r="I283" s="49" t="str"/>
      <c r="J283" s="55">
        <f>INT((ROW()-2)/50)+1</f>
        <v/>
      </c>
      <c r="K283" s="55">
        <f>IF(H283="","Pending",IF(OR(H283="0",H283="1",H283="2",H283="U"),"Complete","Invalid"))</f>
        <v/>
      </c>
    </row>
    <row r="284" ht="84" customHeight="1">
      <c r="A284" s="43" t="inlineStr">
        <is>
          <t>v2q-027-candidate-08</t>
        </is>
      </c>
      <c r="B284" s="43" t="inlineStr">
        <is>
          <t>v2q-027</t>
        </is>
      </c>
      <c r="C284" s="43" t="inlineStr">
        <is>
          <t>What livelihood mechanism does PM SVANidhi offer street vendors, and which other programme from its ministry addresses housing shortages for eligible urban households?</t>
        </is>
      </c>
      <c r="D284" s="43" t="inlineStr">
        <is>
          <t>PM SVANidhi offers street vendors collateral-free working-capital loans, interest subsidy, and digital-payment incentives. PMAY-U, under the same Ministry of Housing and Urban Affairs, provides housing support for eligible urban households.</t>
        </is>
      </c>
      <c r="E284" s="43" t="inlineStr">
        <is>
          <t>pilot-v2-doc-pmay-g-0005-c6e2fcfefcd0</t>
        </is>
      </c>
      <c r="F284" s="43" t="inlineStr">
        <is>
          <t>Pradhan Mantri Awaas Yojana - Gramin</t>
        </is>
      </c>
      <c r="G284" s="43" t="inlineStr">
        <is>
          <t>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is>
      </c>
      <c r="H284" s="49" t="inlineStr">
        <is>
          <t>0</t>
        </is>
      </c>
      <c r="I284" s="49" t="str"/>
      <c r="J284" s="55">
        <f>INT((ROW()-2)/50)+1</f>
        <v/>
      </c>
      <c r="K284" s="55">
        <f>IF(H284="","Pending",IF(OR(H284="0",H284="1",H284="2",H284="U"),"Complete","Invalid"))</f>
        <v/>
      </c>
    </row>
    <row r="285" ht="84" customHeight="1">
      <c r="A285" s="43" t="inlineStr">
        <is>
          <t>v2q-007-candidate-27</t>
        </is>
      </c>
      <c r="B285" s="43" t="inlineStr">
        <is>
          <t>v2q-007</t>
        </is>
      </c>
      <c r="C285" s="43" t="inlineStr">
        <is>
          <t>What is the full form of PMJJBY, and which event does its life insurance cover?</t>
        </is>
      </c>
      <c r="D285" s="43" t="inlineStr">
        <is>
          <t>PMJJBY stands for Pradhan Mantri Jeevan Jyoti Bima Yojana and provides life-insurance cover for death due to any reason.</t>
        </is>
      </c>
      <c r="E285" s="43" t="inlineStr">
        <is>
          <t>pilot-v2-doc-ab-pmjay-0003-1242266bb260</t>
        </is>
      </c>
      <c r="F285" s="43" t="inlineStr">
        <is>
          <t>Ayushman Bharat - Pradhan Mantri Jan Arogya Yojana</t>
        </is>
      </c>
      <c r="G285"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285" s="49" t="inlineStr">
        <is>
          <t>0</t>
        </is>
      </c>
      <c r="I285" s="49" t="str"/>
      <c r="J285" s="55">
        <f>INT((ROW()-2)/50)+1</f>
        <v/>
      </c>
      <c r="K285" s="55">
        <f>IF(H285="","Pending",IF(OR(H285="0",H285="1",H285="2",H285="U"),"Complete","Invalid"))</f>
        <v/>
      </c>
    </row>
    <row r="286" ht="84" customHeight="1">
      <c r="A286" s="43" t="inlineStr">
        <is>
          <t>v2q-009-candidate-13</t>
        </is>
      </c>
      <c r="B286" s="43" t="inlineStr">
        <is>
          <t>v2q-009</t>
        </is>
      </c>
      <c r="C286" s="43" t="inlineStr">
        <is>
          <t>What does APY stand for, and what monthly pension range does it guarantee after age 60?</t>
        </is>
      </c>
      <c r="D286" s="43" t="inlineStr">
        <is>
          <t>APY stands for Atal Pension Yojana and offers guaranteed monthly pension options from ₹1,000 to ₹5,000 after age 60.</t>
        </is>
      </c>
      <c r="E286" s="43" t="inlineStr">
        <is>
          <t>pilot-v2-doc-apy-0002-66a5cc4017fb</t>
        </is>
      </c>
      <c r="F286" s="43" t="inlineStr">
        <is>
          <t>Atal Pension Yojana</t>
        </is>
      </c>
      <c r="G286"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286" s="49" t="inlineStr">
        <is>
          <t>1</t>
        </is>
      </c>
      <c r="I286" s="49" t="str"/>
      <c r="J286" s="55">
        <f>INT((ROW()-2)/50)+1</f>
        <v/>
      </c>
      <c r="K286" s="55">
        <f>IF(H286="","Pending",IF(OR(H286="0",H286="1",H286="2",H286="U"),"Complete","Invalid"))</f>
        <v/>
      </c>
    </row>
    <row r="287" ht="84" customHeight="1">
      <c r="A287" s="43" t="inlineStr">
        <is>
          <t>v2q-026-candidate-15</t>
        </is>
      </c>
      <c r="B287" s="43" t="inlineStr">
        <is>
          <t>v2q-026</t>
        </is>
      </c>
      <c r="C287" s="43" t="inlineStr">
        <is>
          <t>What employment guarantee does MGNREGA provide, and which other programme from its ministry supplies pucca houses to rural households?</t>
        </is>
      </c>
      <c r="D287" s="43" t="inlineStr">
        <is>
          <t>MGNREGA guarantees at least 100 days of wage employment to qualifying rural households. PMAY-G, under the same Ministry of Rural Development, supports pucca houses with basic amenities for eligible rural households.</t>
        </is>
      </c>
      <c r="E287" s="43" t="inlineStr">
        <is>
          <t>pilot-v2-doc-pmay-g-0006-d323213e3255</t>
        </is>
      </c>
      <c r="F287" s="43" t="inlineStr">
        <is>
          <t>Pradhan Mantri Awaas Yojana - Gramin</t>
        </is>
      </c>
      <c r="G287" s="43" t="inlineStr">
        <is>
          <t>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H287" s="49" t="inlineStr">
        <is>
          <t>1</t>
        </is>
      </c>
      <c r="I287" s="49" t="str"/>
      <c r="J287" s="55">
        <f>INT((ROW()-2)/50)+1</f>
        <v/>
      </c>
      <c r="K287" s="55">
        <f>IF(H287="","Pending",IF(OR(H287="0",H287="1",H287="2",H287="U"),"Complete","Invalid"))</f>
        <v/>
      </c>
    </row>
    <row r="288" ht="84" customHeight="1">
      <c r="A288" s="43" t="inlineStr">
        <is>
          <t>v2q-020-candidate-22</t>
        </is>
      </c>
      <c r="B288" s="43" t="inlineStr">
        <is>
          <t>v2q-020</t>
        </is>
      </c>
      <c r="C288" s="43" t="inlineStr">
        <is>
          <t>How do NSDC and SPIAs divide responsibility in the Special Projects arm of the national skill mission?</t>
        </is>
      </c>
      <c r="D288" s="43" t="inlineStr">
        <is>
          <t>NSDC supports the ministry’s implementation, while Special Projects Implementing Agencies deliver the projects on the ground.</t>
        </is>
      </c>
      <c r="E288" s="43" t="inlineStr">
        <is>
          <t>pilot-v2-doc-ab-pmjay-0000-94c82a474579</t>
        </is>
      </c>
      <c r="F288" s="43" t="inlineStr">
        <is>
          <t>Ayushman Bharat - Pradhan Mantri Jan Arogya Yojana</t>
        </is>
      </c>
      <c r="G288"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288" s="49" t="inlineStr">
        <is>
          <t>0</t>
        </is>
      </c>
      <c r="I288" s="49" t="str"/>
      <c r="J288" s="55">
        <f>INT((ROW()-2)/50)+1</f>
        <v/>
      </c>
      <c r="K288" s="55">
        <f>IF(H288="","Pending",IF(OR(H288="0",H288="1",H288="2",H288="U"),"Complete","Invalid"))</f>
        <v/>
      </c>
    </row>
    <row r="289" ht="84" customHeight="1">
      <c r="A289" s="43" t="inlineStr">
        <is>
          <t>v2q-017-candidate-04</t>
        </is>
      </c>
      <c r="B289" s="43" t="inlineStr">
        <is>
          <t>v2q-017</t>
        </is>
      </c>
      <c r="C289" s="43" t="inlineStr">
        <is>
          <t>Which training route serves people no longer in education or work who need an initial occupational skill?</t>
        </is>
      </c>
      <c r="D289" s="43" t="inlineStr">
        <is>
          <t>PMKVY 4.0 Short-Term Training provides fresh skilling, reskilling, or upskilling for groups including school or college dropouts and unemployed youth.</t>
        </is>
      </c>
      <c r="E289" s="43" t="inlineStr">
        <is>
          <t>pilot-v2-doc-pmkvy-rpl-0000-c98f315c1481</t>
        </is>
      </c>
      <c r="F289" s="43" t="inlineStr">
        <is>
          <t>Pradhan Mantri Kaushal Vikas Yojana 4.0 - Recognition Of Prior Learning</t>
        </is>
      </c>
      <c r="G289" s="43" t="inlineStr">
        <is>
          <t>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is>
      </c>
      <c r="H289" s="49" t="inlineStr">
        <is>
          <t>1</t>
        </is>
      </c>
      <c r="I289" s="49" t="str"/>
      <c r="J289" s="55">
        <f>INT((ROW()-2)/50)+1</f>
        <v/>
      </c>
      <c r="K289" s="55">
        <f>IF(H289="","Pending",IF(OR(H289="0",H289="1",H289="2",H289="U"),"Complete","Invalid"))</f>
        <v/>
      </c>
    </row>
    <row r="290" ht="84" customHeight="1">
      <c r="A290" s="43" t="inlineStr">
        <is>
          <t>v2q-015-candidate-10</t>
        </is>
      </c>
      <c r="B290" s="43" t="inlineStr">
        <is>
          <t>v2q-015</t>
        </is>
      </c>
      <c r="C290" s="43" t="inlineStr">
        <is>
          <t>Which initiative helps job-seekers and established craftspeople launch small businesses outside agriculture?</t>
        </is>
      </c>
      <c r="D290" s="43" t="inlineStr">
        <is>
          <t>The Prime Minister's Employment Generation Programme supports new micro-enterprises to create self-employment for traditional artisans, unemployed youth, and other eligible beneficiaries.</t>
        </is>
      </c>
      <c r="E290" s="43" t="inlineStr">
        <is>
          <t>pilot-v2-doc-pmegp-0003-43256e8e6645</t>
        </is>
      </c>
      <c r="F290" s="43" t="inlineStr">
        <is>
          <t>Prime Minister's Employment Generation Programme</t>
        </is>
      </c>
      <c r="G290"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290" s="49" t="inlineStr">
        <is>
          <t>2</t>
        </is>
      </c>
      <c r="I290" s="49" t="str"/>
      <c r="J290" s="55">
        <f>INT((ROW()-2)/50)+1</f>
        <v/>
      </c>
      <c r="K290" s="55">
        <f>IF(H290="","Pending",IF(OR(H290="0",H290="1",H290="2",H290="U"),"Complete","Invalid"))</f>
        <v/>
      </c>
    </row>
    <row r="291" ht="84" customHeight="1">
      <c r="A291" s="43" t="inlineStr">
        <is>
          <t>v2q-006-candidate-01</t>
        </is>
      </c>
      <c r="B291" s="43" t="inlineStr">
        <is>
          <t>v2q-006</t>
        </is>
      </c>
      <c r="C291" s="43" t="inlineStr">
        <is>
          <t>What annual hospitalisation cover does AB-PMJAY provide per eligible family?</t>
        </is>
      </c>
      <c r="D291" s="43" t="inlineStr">
        <is>
          <t>AB-PMJAY provides cashless hospitalisation cover of ₹5 lakh per family per year for secondary and tertiary healthcare.</t>
        </is>
      </c>
      <c r="E291" s="43" t="inlineStr">
        <is>
          <t>pilot-v2-doc-pmjdy-0000-8b241ec39723</t>
        </is>
      </c>
      <c r="F291" s="43" t="inlineStr">
        <is>
          <t>Pradhan Mantri Jan Dhan Yojana</t>
        </is>
      </c>
      <c r="G291"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291" s="49" t="inlineStr">
        <is>
          <t>0</t>
        </is>
      </c>
      <c r="I291" s="49" t="str"/>
      <c r="J291" s="55">
        <f>INT((ROW()-2)/50)+1</f>
        <v/>
      </c>
      <c r="K291" s="55">
        <f>IF(H291="","Pending",IF(OR(H291="0",H291="1",H291="2",H291="U"),"Complete","Invalid"))</f>
        <v/>
      </c>
    </row>
    <row r="292" ht="84" customHeight="1">
      <c r="A292" s="43" t="inlineStr">
        <is>
          <t>v2q-011-candidate-01</t>
        </is>
      </c>
      <c r="B292" s="43" t="inlineStr">
        <is>
          <t>v2q-011</t>
        </is>
      </c>
      <c r="C292" s="43" t="inlineStr">
        <is>
          <t>What does PM JANMAN stand for, and which communities does it target?</t>
        </is>
      </c>
      <c r="D292" s="43" t="inlineStr">
        <is>
          <t>PM JANMAN stands for PM Janjati Adivasi Nyaya Maha Abhiyan and targets Particularly Vulnerable Tribal Groups.</t>
        </is>
      </c>
      <c r="E292" s="43" t="inlineStr">
        <is>
          <t>pilot-v2-doc-pm-kisan-guidelines-0003-8f87fe11bcaf</t>
        </is>
      </c>
      <c r="F292" s="43" t="inlineStr">
        <is>
          <t>PM-KISAN Operational Guidelines</t>
        </is>
      </c>
      <c r="G292" s="43" t="inlineStr">
        <is>
          <t>during the financial year (2018-19) shall be
proportionate amount from date of transfer  till 31.03.2019 with respect to the 4 months
period.
5.3.1  In cases where the land records have not been updated for rights accruing due to
succession on account of the death of land owners before 01.12.2018, such updation of
land records may be done by the States in a time bound manner.  The successors
                                         3
whose names are entered in land records for rights accrued as aforementioned shall be
eligible subject to fulfilment of other conditions of the Scheme and the exclusion
clauses.
5.3.2 Clause 5.3  of the Operational Guidelines, which provides  for proportionate
amount of financial benefit under the scheme to be transferred in the bank accounts of
the beneficiaries  in cases involving transfer  of ownership between 01.12.2018  to
31.01.2019, shall remain applicable to the cases of succession as well which is clear
from the wording of the said clause.
5.3.3 Subsequent to 01.02.2019, there could be change in ownership due to the
following reasons:-
           i)     Transfer of ownership due to inheritance resulting out of death of the land
            owner. In such cases the family of the successors would be entitled to the
              benefits, if otherwise eligible as per scheme guidelines.
            ii)     In cases of cultivable land transferred to other persons through Sale Deed,
               Partition Deed, Gift Deed, etc., the transferee will not be eligible under the
          Scheme as he / she was not the land owner as on 01.02.2019. However,
               in such cases even the transferor of the land will become ineligible if the
              family of the transferor does not have any cultivable land subsequent to
           such a transfer.
5.3.4 The State Governments have to put in place the administrative mechanism
based on their existing land revenue administrative regime to take care of formulations.
There</t>
        </is>
      </c>
      <c r="H292" s="49" t="inlineStr">
        <is>
          <t>0</t>
        </is>
      </c>
      <c r="I292" s="49" t="str"/>
      <c r="J292" s="55">
        <f>INT((ROW()-2)/50)+1</f>
        <v/>
      </c>
      <c r="K292" s="55">
        <f>IF(H292="","Pending",IF(OR(H292="0",H292="1",H292="2",H292="U"),"Complete","Invalid"))</f>
        <v/>
      </c>
    </row>
    <row r="293" ht="84" customHeight="1">
      <c r="A293" s="43" t="inlineStr">
        <is>
          <t>v2q-004-candidate-09</t>
        </is>
      </c>
      <c r="B293" s="43" t="inlineStr">
        <is>
          <t>v2q-004</t>
        </is>
      </c>
      <c r="C293" s="43" t="inlineStr">
        <is>
          <t>What is the maximum micro-loan amount stated for PMMY?</t>
        </is>
      </c>
      <c r="D293" s="43" t="inlineStr">
        <is>
          <t>PMMY facilitates micro-credit loans up to ₹20 lakh for eligible income-generating micro-enterprises.</t>
        </is>
      </c>
      <c r="E293" s="43" t="inlineStr">
        <is>
          <t>pilot-v2-doc-pmmy-0000-70a89ee32765</t>
        </is>
      </c>
      <c r="F293" s="43" t="inlineStr">
        <is>
          <t>Pradhan Mantri Mudra Yojana</t>
        </is>
      </c>
      <c r="G293"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293" s="49" t="inlineStr">
        <is>
          <t>2</t>
        </is>
      </c>
      <c r="I293" s="49" t="str"/>
      <c r="J293" s="55">
        <f>INT((ROW()-2)/50)+1</f>
        <v/>
      </c>
      <c r="K293" s="55">
        <f>IF(H293="","Pending",IF(OR(H293="0",H293="1",H293="2",H293="U"),"Complete","Invalid"))</f>
        <v/>
      </c>
    </row>
    <row r="294" ht="84" customHeight="1">
      <c r="A294" s="43" t="inlineStr">
        <is>
          <t>v2q-029-candidate-20</t>
        </is>
      </c>
      <c r="B294" s="43" t="inlineStr">
        <is>
          <t>v2q-029</t>
        </is>
      </c>
      <c r="C294" s="43" t="inlineStr">
        <is>
          <t>What migrant-focused facility distinguishes Ujjwala 2.0, and what clean-cooking transition was established by its predecessor programme?</t>
        </is>
      </c>
      <c r="D294" s="43" t="inlineStr">
        <is>
          <t>Ujjwala 2.0 added 1.6 crore LPG connections with a special facility for migrant households. Its predecessor, Pradhan Mantri Ujjwala Yojana, sought to replace traditional cooking fuels with LPG access for rural and deprived households.</t>
        </is>
      </c>
      <c r="E294" s="43" t="inlineStr">
        <is>
          <t>pilot-v2-doc-pm-gkay-0001-ccd31e120258</t>
        </is>
      </c>
      <c r="F294" s="43" t="inlineStr">
        <is>
          <t>Pradhan Mantri Garib Kalyan Anna Yojana</t>
        </is>
      </c>
      <c r="G294"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294" s="49" t="inlineStr">
        <is>
          <t>0</t>
        </is>
      </c>
      <c r="I294" s="49" t="str"/>
      <c r="J294" s="55">
        <f>INT((ROW()-2)/50)+1</f>
        <v/>
      </c>
      <c r="K294" s="55">
        <f>IF(H294="","Pending",IF(OR(H294="0",H294="1",H294="2",H294="U"),"Complete","Invalid"))</f>
        <v/>
      </c>
    </row>
    <row r="295" ht="84" customHeight="1">
      <c r="A295" s="43" t="inlineStr">
        <is>
          <t>v2q-018-candidate-09</t>
        </is>
      </c>
      <c r="B295" s="43" t="inlineStr">
        <is>
          <t>v2q-018</t>
        </is>
      </c>
      <c r="C295" s="43" t="inlineStr">
        <is>
          <t>Which initiative helps city households across officially defined lower and middle income bands obtain permanent homes?</t>
        </is>
      </c>
      <c r="D295" s="43" t="inlineStr">
        <is>
          <t>Pradhan Mantri Awas Yojana–Urban addresses urban housing shortages and supports eligible EWS, LIG, and MIG households, including slum dwellers.</t>
        </is>
      </c>
      <c r="E295" s="43" t="inlineStr">
        <is>
          <t>pilot-v2-doc-pmay-g-0004-f8ee90715c3f</t>
        </is>
      </c>
      <c r="F295" s="43" t="inlineStr">
        <is>
          <t>Pradhan Mantri Awaas Yojana - Gramin</t>
        </is>
      </c>
      <c r="G295" s="43" t="inlineStr">
        <is>
          <t>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is>
      </c>
      <c r="H295" s="49" t="inlineStr">
        <is>
          <t>0</t>
        </is>
      </c>
      <c r="I295" s="49" t="str"/>
      <c r="J295" s="55">
        <f>INT((ROW()-2)/50)+1</f>
        <v/>
      </c>
      <c r="K295" s="55">
        <f>IF(H295="","Pending",IF(OR(H295="0",H295="1",H295="2",H295="U"),"Complete","Invalid"))</f>
        <v/>
      </c>
    </row>
    <row r="296" ht="84" customHeight="1">
      <c r="A296" s="43" t="inlineStr">
        <is>
          <t>v2q-003-candidate-22</t>
        </is>
      </c>
      <c r="B296" s="43" t="inlineStr">
        <is>
          <t>v2q-003</t>
        </is>
      </c>
      <c r="C296" s="43" t="inlineStr">
        <is>
          <t>What revised overdraft limit and RuPay accidental-insurance cover are stated for PMJDY?</t>
        </is>
      </c>
      <c r="D296" s="43" t="inlineStr">
        <is>
          <t>PMJDY states a revised overdraft limit of ₹10,000 and accidental-insurance cover of ₹2 lakh for RuPay cardholders.</t>
        </is>
      </c>
      <c r="E296" s="43" t="inlineStr">
        <is>
          <t>pilot-v2-doc-mgnrega-0002-bbbce5f319d4</t>
        </is>
      </c>
      <c r="F296" s="43" t="inlineStr">
        <is>
          <t>Mahatma Gandhi National Rural Employment Guarantee Act</t>
        </is>
      </c>
      <c r="G296"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296" s="49" t="inlineStr">
        <is>
          <t>0</t>
        </is>
      </c>
      <c r="I296" s="49" t="str"/>
      <c r="J296" s="55">
        <f>INT((ROW()-2)/50)+1</f>
        <v/>
      </c>
      <c r="K296" s="55">
        <f>IF(H296="","Pending",IF(OR(H296="0",H296="1",H296="2",H296="U"),"Complete","Invalid"))</f>
        <v/>
      </c>
    </row>
    <row r="297" ht="84" customHeight="1">
      <c r="A297" s="43" t="inlineStr">
        <is>
          <t>v2q-027-candidate-01</t>
        </is>
      </c>
      <c r="B297" s="43" t="inlineStr">
        <is>
          <t>v2q-027</t>
        </is>
      </c>
      <c r="C297" s="43" t="inlineStr">
        <is>
          <t>What livelihood mechanism does PM SVANidhi offer street vendors, and which other programme from its ministry addresses housing shortages for eligible urban households?</t>
        </is>
      </c>
      <c r="D297" s="43" t="inlineStr">
        <is>
          <t>PM SVANidhi offers street vendors collateral-free working-capital loans, interest subsidy, and digital-payment incentives. PMAY-U, under the same Ministry of Housing and Urban Affairs, provides housing support for eligible urban households.</t>
        </is>
      </c>
      <c r="E297" s="43" t="inlineStr">
        <is>
          <t>pilot-v2-doc-pmegp-0003-43256e8e6645</t>
        </is>
      </c>
      <c r="F297" s="43" t="inlineStr">
        <is>
          <t>Prime Minister's Employment Generation Programme</t>
        </is>
      </c>
      <c r="G297"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297" s="49" t="inlineStr">
        <is>
          <t>0</t>
        </is>
      </c>
      <c r="I297" s="49" t="str"/>
      <c r="J297" s="55">
        <f>INT((ROW()-2)/50)+1</f>
        <v/>
      </c>
      <c r="K297" s="55">
        <f>IF(H297="","Pending",IF(OR(H297="0",H297="1",H297="2",H297="U"),"Complete","Invalid"))</f>
        <v/>
      </c>
    </row>
    <row r="298" ht="84" customHeight="1">
      <c r="A298" s="43" t="inlineStr">
        <is>
          <t>v2q-006-candidate-18</t>
        </is>
      </c>
      <c r="B298" s="43" t="inlineStr">
        <is>
          <t>v2q-006</t>
        </is>
      </c>
      <c r="C298" s="43" t="inlineStr">
        <is>
          <t>What annual hospitalisation cover does AB-PMJAY provide per eligible family?</t>
        </is>
      </c>
      <c r="D298" s="43" t="inlineStr">
        <is>
          <t>AB-PMJAY provides cashless hospitalisation cover of ₹5 lakh per family per year for secondary and tertiary healthcare.</t>
        </is>
      </c>
      <c r="E298" s="43" t="inlineStr">
        <is>
          <t>pilot-v2-doc-mgnrega-0003-008750b5fc90</t>
        </is>
      </c>
      <c r="F298" s="43" t="inlineStr">
        <is>
          <t>Mahatma Gandhi National Rural Employment Guarantee Act</t>
        </is>
      </c>
      <c r="G298" s="43" t="inlineStr">
        <is>
          <t>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is>
      </c>
      <c r="H298" s="49" t="inlineStr">
        <is>
          <t>0</t>
        </is>
      </c>
      <c r="I298" s="49" t="str"/>
      <c r="J298" s="55">
        <f>INT((ROW()-2)/50)+1</f>
        <v/>
      </c>
      <c r="K298" s="55">
        <f>IF(H298="","Pending",IF(OR(H298="0",H298="1",H298="2",H298="U"),"Complete","Invalid"))</f>
        <v/>
      </c>
    </row>
    <row r="299" ht="84" customHeight="1">
      <c r="A299" s="43" t="inlineStr">
        <is>
          <t>v2q-032-candidate-10</t>
        </is>
      </c>
      <c r="B299" s="43" t="inlineStr">
        <is>
          <t>v2q-032</t>
        </is>
      </c>
      <c r="C299" s="43" t="inlineStr">
        <is>
          <t>How do three farmer programmes separately address crop loss, current income needs, and old-age income security?</t>
        </is>
      </c>
      <c r="D299" s="43" t="inlineStr">
        <is>
          <t>PMFBY insures crops against specified losses; PM-KISAN transfers ₹6,000 annually to eligible farmer families; PM-KMY provides eligible small and marginal farmers an assured ₹3,000 monthly pension from age 60.</t>
        </is>
      </c>
      <c r="E299" s="43" t="inlineStr">
        <is>
          <t>pilot-v2-doc-pm-kisan-guidelines-0001-5ad8f250b7e2</t>
        </is>
      </c>
      <c r="F299" s="43" t="inlineStr">
        <is>
          <t>PM-KISAN Operational Guidelines</t>
        </is>
      </c>
      <c r="G299"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299" s="49" t="inlineStr">
        <is>
          <t>1</t>
        </is>
      </c>
      <c r="I299" s="49" t="str"/>
      <c r="J299" s="55">
        <f>INT((ROW()-2)/50)+1</f>
        <v/>
      </c>
      <c r="K299" s="55">
        <f>IF(H299="","Pending",IF(OR(H299="0",H299="1",H299="2",H299="U"),"Complete","Invalid"))</f>
        <v/>
      </c>
    </row>
    <row r="300" ht="84" customHeight="1">
      <c r="A300" s="43" t="inlineStr">
        <is>
          <t>v2q-011-candidate-04</t>
        </is>
      </c>
      <c r="B300" s="43" t="inlineStr">
        <is>
          <t>v2q-011</t>
        </is>
      </c>
      <c r="C300" s="43" t="inlineStr">
        <is>
          <t>What does PM JANMAN stand for, and which communities does it target?</t>
        </is>
      </c>
      <c r="D300" s="43" t="inlineStr">
        <is>
          <t>PM JANMAN stands for PM Janjati Adivasi Nyaya Maha Abhiyan and targets Particularly Vulnerable Tribal Groups.</t>
        </is>
      </c>
      <c r="E300" s="43" t="inlineStr">
        <is>
          <t>pilot-v2-doc-pmjdy-0000-8b241ec39723</t>
        </is>
      </c>
      <c r="F300" s="43" t="inlineStr">
        <is>
          <t>Pradhan Mantri Jan Dhan Yojana</t>
        </is>
      </c>
      <c r="G300"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300" s="49" t="inlineStr">
        <is>
          <t>0</t>
        </is>
      </c>
      <c r="I300" s="49" t="str"/>
      <c r="J300" s="55">
        <f>INT((ROW()-2)/50)+1</f>
        <v/>
      </c>
      <c r="K300" s="55">
        <f>IF(H300="","Pending",IF(OR(H300="0",H300="1",H300="2",H300="U"),"Complete","Invalid"))</f>
        <v/>
      </c>
    </row>
    <row r="301" ht="84" customHeight="1">
      <c r="A301" s="43" t="inlineStr">
        <is>
          <t>v2q-022-candidate-24</t>
        </is>
      </c>
      <c r="B301" s="43" t="inlineStr">
        <is>
          <t>v2q-022</t>
        </is>
      </c>
      <c r="C301" s="43" t="inlineStr">
        <is>
          <t>Which finance programme relies on Member Lending Institutions to extend assistance to non-corporate micro-enterprises?</t>
        </is>
      </c>
      <c r="D301" s="43" t="inlineStr">
        <is>
          <t>Eligible Member Lending Institutions extend PMMY financial assistance and provide the scheme’s micro-loans to qualifying micro and small enterprises.</t>
        </is>
      </c>
      <c r="E301" s="43" t="inlineStr">
        <is>
          <t>pilot-v2-doc-pm-janman-0002-d0844e3327b6</t>
        </is>
      </c>
      <c r="F301" s="43" t="inlineStr">
        <is>
          <t>PM Janjati Adivasi Nyaya Maha Abhiyan (PM JANMAN)</t>
        </is>
      </c>
      <c r="G301"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301" s="49" t="inlineStr">
        <is>
          <t>0</t>
        </is>
      </c>
      <c r="I301" s="49" t="str"/>
      <c r="J301" s="55">
        <f>INT((ROW()-2)/50)+1</f>
        <v/>
      </c>
      <c r="K301" s="55">
        <f>IF(H301="","Pending",IF(OR(H301="0",H301="1",H301="2",H301="U"),"Complete","Invalid"))</f>
        <v/>
      </c>
    </row>
    <row r="302" ht="84" customHeight="1">
      <c r="A302" s="43" t="inlineStr">
        <is>
          <t>v2q-006-candidate-23</t>
        </is>
      </c>
      <c r="B302" s="43" t="inlineStr">
        <is>
          <t>v2q-006</t>
        </is>
      </c>
      <c r="C302" s="43" t="inlineStr">
        <is>
          <t>What annual hospitalisation cover does AB-PMJAY provide per eligible family?</t>
        </is>
      </c>
      <c r="D302" s="43" t="inlineStr">
        <is>
          <t>AB-PMJAY provides cashless hospitalisation cover of ₹5 lakh per family per year for secondary and tertiary healthcare.</t>
        </is>
      </c>
      <c r="E302" s="43" t="inlineStr">
        <is>
          <t>pilot-v2-doc-pmuy2-0001-065bd619e9c6</t>
        </is>
      </c>
      <c r="F302" s="43" t="inlineStr">
        <is>
          <t>Pradhan Mantri Ujjwala Yojana 2.0</t>
        </is>
      </c>
      <c r="G302" s="43" t="inlineStr">
        <is>
          <t>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is>
      </c>
      <c r="H302" s="49" t="inlineStr">
        <is>
          <t>0</t>
        </is>
      </c>
      <c r="I302" s="49" t="str"/>
      <c r="J302" s="55">
        <f>INT((ROW()-2)/50)+1</f>
        <v/>
      </c>
      <c r="K302" s="55">
        <f>IF(H302="","Pending",IF(OR(H302="0",H302="1",H302="2",H302="U"),"Complete","Invalid"))</f>
        <v/>
      </c>
    </row>
    <row r="303" ht="84" customHeight="1">
      <c r="A303" s="43" t="inlineStr">
        <is>
          <t>v2q-030-candidate-01</t>
        </is>
      </c>
      <c r="B303" s="43" t="inlineStr">
        <is>
          <t>v2q-030</t>
        </is>
      </c>
      <c r="C303" s="43" t="inlineStr">
        <is>
          <t>What retirement benefit does APY offer, and which life-insurance programme administered through the same department covers death from any cause?</t>
        </is>
      </c>
      <c r="D303" s="43" t="inlineStr">
        <is>
          <t>APY offers guaranteed monthly pension options after age 60. PMJJBY, associated with the same Department of Financial Services, provides life cover for death due to any reason.</t>
        </is>
      </c>
      <c r="E303" s="43" t="inlineStr">
        <is>
          <t>pilot-v2-doc-pm-kmy-guidelines-0018-67494b680dda</t>
        </is>
      </c>
      <c r="F303" s="43" t="inlineStr">
        <is>
          <t>Pradhan Mantri Kisan Maan Dhan Yojana Operational Guidelines</t>
        </is>
      </c>
      <c r="G303" s="43" t="inlineStr">
        <is>
          <t>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 benefits under the Scheme shall be payable only in India.
Should anything contained in these guidelines, or in any amendment made thereof be
repugnant to any provisions of the Income Tax Act, 1961 or the Income Tax Rules, 1962,
it shall be ineffective to the extent of such repugnance, any such repugnance in so far as
it relates to Income Tax Act 1961 and the Rules there under shall be removed by the
DAC&amp;FW.
                                              12
16.  DEDUCTION OF SUMS DUE TO INCOME TAX AUTHORITIES:
Income Tax: In any case where the DAC&amp;FW or the Corporation is liable to account to
the Income Tax Authorities for Income Tax on any payments due under the Scheme, the
Corporation shall deduct a sum equal to the tax from such payment and shall not be
liable to the subscribers for the sum so deducted.
17.  NOMINATION:
(a)    Every  Subscriber  shall  appoint  spouse  or  dependants  as  Beneficiary  or
Beneficiaries under the Scheme to receive the benefits hereunder in the event of the
death of the subscriber.
(b)   Every appointment / nomination to be made under 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t>
        </is>
      </c>
      <c r="H303" s="49" t="inlineStr">
        <is>
          <t>0</t>
        </is>
      </c>
      <c r="I303" s="49" t="str"/>
      <c r="J303" s="55">
        <f>INT((ROW()-2)/50)+1</f>
        <v/>
      </c>
      <c r="K303" s="55">
        <f>IF(H303="","Pending",IF(OR(H303="0",H303="1",H303="2",H303="U"),"Complete","Invalid"))</f>
        <v/>
      </c>
    </row>
    <row r="304" ht="84" customHeight="1">
      <c r="A304" s="43" t="inlineStr">
        <is>
          <t>v2q-010-candidate-12</t>
        </is>
      </c>
      <c r="B304" s="43" t="inlineStr">
        <is>
          <t>v2q-010</t>
        </is>
      </c>
      <c r="C304" s="43" t="inlineStr">
        <is>
          <t>What is the full form of PM POSHAN, and what meal benefit does it provide?</t>
        </is>
      </c>
      <c r="D304" s="43" t="inlineStr">
        <is>
          <t>PM POSHAN means Prime Minister's Overarching Scheme for Holistic Nourishment and provides one hot cooked meal to children in government and government-aided schools.</t>
        </is>
      </c>
      <c r="E304" s="43" t="inlineStr">
        <is>
          <t>pilot-v2-doc-pmuy-0000-ad06c0c09d46</t>
        </is>
      </c>
      <c r="F304" s="43" t="inlineStr">
        <is>
          <t>Pradhan Mantri Ujjwala Yojana</t>
        </is>
      </c>
      <c r="G304"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304" s="49" t="inlineStr">
        <is>
          <t>0</t>
        </is>
      </c>
      <c r="I304" s="49" t="str"/>
      <c r="J304" s="55">
        <f>INT((ROW()-2)/50)+1</f>
        <v/>
      </c>
      <c r="K304" s="55">
        <f>IF(H304="","Pending",IF(OR(H304="0",H304="1",H304="2",H304="U"),"Complete","Invalid"))</f>
        <v/>
      </c>
    </row>
    <row r="305" ht="84" customHeight="1">
      <c r="A305" s="43" t="inlineStr">
        <is>
          <t>v2q-008-candidate-19</t>
        </is>
      </c>
      <c r="B305" s="43" t="inlineStr">
        <is>
          <t>v2q-008</t>
        </is>
      </c>
      <c r="C305" s="43" t="inlineStr">
        <is>
          <t>Which accident-insurance programme is abbreviated PMSBY, and which outcomes trigger its cover?</t>
        </is>
      </c>
      <c r="D305" s="43" t="inlineStr">
        <is>
          <t>PMSBY stands for Pradhan Mantri Suraksha Bima Yojana and covers accidental death and disability.</t>
        </is>
      </c>
      <c r="E305" s="43" t="inlineStr">
        <is>
          <t>pilot-v2-doc-pmjdy-0000-8b241ec39723</t>
        </is>
      </c>
      <c r="F305" s="43" t="inlineStr">
        <is>
          <t>Pradhan Mantri Jan Dhan Yojana</t>
        </is>
      </c>
      <c r="G305"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305" s="49" t="inlineStr">
        <is>
          <t>0</t>
        </is>
      </c>
      <c r="I305" s="49" t="str"/>
      <c r="J305" s="55">
        <f>INT((ROW()-2)/50)+1</f>
        <v/>
      </c>
      <c r="K305" s="55">
        <f>IF(H305="","Pending",IF(OR(H305="0",H305="1",H305="2",H305="U"),"Complete","Invalid"))</f>
        <v/>
      </c>
    </row>
    <row r="306" ht="84" customHeight="1">
      <c r="A306" s="43" t="inlineStr">
        <is>
          <t>v2q-033-candidate-04</t>
        </is>
      </c>
      <c r="B306" s="43" t="inlineStr">
        <is>
          <t>v2q-033</t>
        </is>
      </c>
      <c r="C306" s="43" t="inlineStr">
        <is>
          <t>How do three programmes support micro-enterprises, new enterprise creation, and street-vendor livelihoods through different financial mechanisms?</t>
        </is>
      </c>
      <c r="D306" s="43" t="inlineStr">
        <is>
          <t>PMMY provides micro-credit to eligible micro-enterprises; PMEGP uses a credit-linked subsidy to establish new micro-enterprises; PM SVANidhi provides street vendors collateral-free working-capital loans, interest subsidy, and digital-payment incentives.</t>
        </is>
      </c>
      <c r="E306" s="43" t="inlineStr">
        <is>
          <t>pilot-v2-doc-ab-pmjay-0001-a632a7205efc</t>
        </is>
      </c>
      <c r="F306" s="43" t="inlineStr">
        <is>
          <t>Ayushman Bharat - Pradhan Mantri Jan Arogya Yojana</t>
        </is>
      </c>
      <c r="G306"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06" s="49" t="inlineStr">
        <is>
          <t>0</t>
        </is>
      </c>
      <c r="I306" s="49" t="str"/>
      <c r="J306" s="55">
        <f>INT((ROW()-2)/50)+1</f>
        <v/>
      </c>
      <c r="K306" s="55">
        <f>IF(H306="","Pending",IF(OR(H306="0",H306="1",H306="2",H306="U"),"Complete","Invalid"))</f>
        <v/>
      </c>
    </row>
    <row r="307" ht="84" customHeight="1">
      <c r="A307" s="43" t="inlineStr">
        <is>
          <t>v2q-024-candidate-06</t>
        </is>
      </c>
      <c r="B307" s="43" t="inlineStr">
        <is>
          <t>v2q-024</t>
        </is>
      </c>
      <c r="C307" s="43" t="inlineStr">
        <is>
          <t>Which national health-assurance programme does NHA implement under the health ministry?</t>
        </is>
      </c>
      <c r="D307" s="43" t="inlineStr">
        <is>
          <t>The National Health Authority implements AB-PMJAY under the Ministry of Health and Family Welfare.</t>
        </is>
      </c>
      <c r="E307" s="43" t="inlineStr">
        <is>
          <t>pilot-v2-doc-pmuy2-0000-95fa2d4e3b3f</t>
        </is>
      </c>
      <c r="F307" s="43" t="inlineStr">
        <is>
          <t>Pradhan Mantri Ujjwala Yojana 2.0</t>
        </is>
      </c>
      <c r="G307"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307" s="49" t="inlineStr">
        <is>
          <t>0</t>
        </is>
      </c>
      <c r="I307" s="49" t="str"/>
      <c r="J307" s="55">
        <f>INT((ROW()-2)/50)+1</f>
        <v/>
      </c>
      <c r="K307" s="55">
        <f>IF(H307="","Pending",IF(OR(H307="0",H307="1",H307="2",H307="U"),"Complete","Invalid"))</f>
        <v/>
      </c>
    </row>
    <row r="308" ht="84" customHeight="1">
      <c r="A308" s="43" t="inlineStr">
        <is>
          <t>v2q-031-candidate-10</t>
        </is>
      </c>
      <c r="B308" s="43" t="inlineStr">
        <is>
          <t>v2q-031</t>
        </is>
      </c>
      <c r="C308" s="43" t="inlineStr">
        <is>
          <t>How do three finance-sector programmes combine basic banking, life insurance, and accident insurance?</t>
        </is>
      </c>
      <c r="D308" s="43" t="inlineStr">
        <is>
          <t>PMJDY provides universal banking and access to financial services; PMJJBY supplies life cover for death from any cause; PMSBY supplies accidental-death and disability cover.</t>
        </is>
      </c>
      <c r="E308" s="43" t="inlineStr">
        <is>
          <t>pilot-v2-doc-ab-pmjay-0000-94c82a474579</t>
        </is>
      </c>
      <c r="F308" s="43" t="inlineStr">
        <is>
          <t>Ayushman Bharat - Pradhan Mantri Jan Arogya Yojana</t>
        </is>
      </c>
      <c r="G308"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308" s="49" t="inlineStr">
        <is>
          <t>0</t>
        </is>
      </c>
      <c r="I308" s="49" t="str"/>
      <c r="J308" s="55">
        <f>INT((ROW()-2)/50)+1</f>
        <v/>
      </c>
      <c r="K308" s="55">
        <f>IF(H308="","Pending",IF(OR(H308="0",H308="1",H308="2",H308="U"),"Complete","Invalid"))</f>
        <v/>
      </c>
    </row>
    <row r="309" ht="84" customHeight="1">
      <c r="A309" s="43" t="inlineStr">
        <is>
          <t>v2q-012-candidate-17</t>
        </is>
      </c>
      <c r="B309" s="43" t="inlineStr">
        <is>
          <t>v2q-012</t>
        </is>
      </c>
      <c r="C309" s="43" t="inlineStr">
        <is>
          <t>What does PM SVANidhi stand for, and who is its intended beneficiary group?</t>
        </is>
      </c>
      <c r="D309" s="43" t="inlineStr">
        <is>
          <t>PM SVANidhi stands for PM Street Vendor’s AtmaNirbhar Nidhi and supports street vendors through working-capital and related incentives.</t>
        </is>
      </c>
      <c r="E309" s="43" t="inlineStr">
        <is>
          <t>pilot-v2-doc-pm-svanidhi-0002-280acc14217b</t>
        </is>
      </c>
      <c r="F309" s="43" t="inlineStr">
        <is>
          <t>PM Street Vendor’s AtmaNirbhar Nidhi (PM SVANidhi)</t>
        </is>
      </c>
      <c r="G309" s="43" t="inlineStr">
        <is>
          <t>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is>
      </c>
      <c r="H309" s="49" t="inlineStr">
        <is>
          <t>2</t>
        </is>
      </c>
      <c r="I309" s="49" t="str"/>
      <c r="J309" s="55">
        <f>INT((ROW()-2)/50)+1</f>
        <v/>
      </c>
      <c r="K309" s="55">
        <f>IF(H309="","Pending",IF(OR(H309="0",H309="1",H309="2",H309="U"),"Complete","Invalid"))</f>
        <v/>
      </c>
    </row>
    <row r="310" ht="84" customHeight="1">
      <c r="A310" s="43" t="inlineStr">
        <is>
          <t>v2q-006-candidate-13</t>
        </is>
      </c>
      <c r="B310" s="43" t="inlineStr">
        <is>
          <t>v2q-006</t>
        </is>
      </c>
      <c r="C310" s="43" t="inlineStr">
        <is>
          <t>What annual hospitalisation cover does AB-PMJAY provide per eligible family?</t>
        </is>
      </c>
      <c r="D310" s="43" t="inlineStr">
        <is>
          <t>AB-PMJAY provides cashless hospitalisation cover of ₹5 lakh per family per year for secondary and tertiary healthcare.</t>
        </is>
      </c>
      <c r="E310" s="43" t="inlineStr">
        <is>
          <t>pilot-v2-doc-ab-pmjay-0001-a632a7205efc</t>
        </is>
      </c>
      <c r="F310" s="43" t="inlineStr">
        <is>
          <t>Ayushman Bharat - Pradhan Mantri Jan Arogya Yojana</t>
        </is>
      </c>
      <c r="G310"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10" s="49" t="inlineStr">
        <is>
          <t>2</t>
        </is>
      </c>
      <c r="I310" s="49" t="str"/>
      <c r="J310" s="55">
        <f>INT((ROW()-2)/50)+1</f>
        <v/>
      </c>
      <c r="K310" s="55">
        <f>IF(H310="","Pending",IF(OR(H310="0",H310="1",H310="2",H310="U"),"Complete","Invalid"))</f>
        <v/>
      </c>
    </row>
    <row r="311" ht="84" customHeight="1">
      <c r="A311" s="43" t="inlineStr">
        <is>
          <t>v2q-017-candidate-01</t>
        </is>
      </c>
      <c r="B311" s="43" t="inlineStr">
        <is>
          <t>v2q-017</t>
        </is>
      </c>
      <c r="C311" s="43" t="inlineStr">
        <is>
          <t>Which training route serves people no longer in education or work who need an initial occupational skill?</t>
        </is>
      </c>
      <c r="D311" s="43" t="inlineStr">
        <is>
          <t>PMKVY 4.0 Short-Term Training provides fresh skilling, reskilling, or upskilling for groups including school or college dropouts and unemployed youth.</t>
        </is>
      </c>
      <c r="E311" s="43" t="inlineStr">
        <is>
          <t>pilot-v2-doc-pmkvy-rpl-0003-9425f5b8529a</t>
        </is>
      </c>
      <c r="F311" s="43" t="inlineStr">
        <is>
          <t>Pradhan Mantri Kaushal Vikas Yojana 4.0 - Recognition Of Prior Learning</t>
        </is>
      </c>
      <c r="G311" s="43" t="inlineStr">
        <is>
          <t>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is>
      </c>
      <c r="H311" s="49" t="inlineStr">
        <is>
          <t>1</t>
        </is>
      </c>
      <c r="I311" s="49" t="str"/>
      <c r="J311" s="55">
        <f>INT((ROW()-2)/50)+1</f>
        <v/>
      </c>
      <c r="K311" s="55">
        <f>IF(H311="","Pending",IF(OR(H311="0",H311="1",H311="2",H311="U"),"Complete","Invalid"))</f>
        <v/>
      </c>
    </row>
    <row r="312" ht="84" customHeight="1">
      <c r="A312" s="43" t="inlineStr">
        <is>
          <t>v2q-012-candidate-09</t>
        </is>
      </c>
      <c r="B312" s="43" t="inlineStr">
        <is>
          <t>v2q-012</t>
        </is>
      </c>
      <c r="C312" s="43" t="inlineStr">
        <is>
          <t>What does PM SVANidhi stand for, and who is its intended beneficiary group?</t>
        </is>
      </c>
      <c r="D312" s="43" t="inlineStr">
        <is>
          <t>PM SVANidhi stands for PM Street Vendor’s AtmaNirbhar Nidhi and supports street vendors through working-capital and related incentives.</t>
        </is>
      </c>
      <c r="E312" s="43" t="inlineStr">
        <is>
          <t>pilot-v2-doc-pm-svanidhi-0000-f6024bb09ca5</t>
        </is>
      </c>
      <c r="F312" s="43" t="inlineStr">
        <is>
          <t>PM Street Vendor’s AtmaNirbhar Nidhi (PM SVANidhi)</t>
        </is>
      </c>
      <c r="G312"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312" s="49" t="inlineStr">
        <is>
          <t>2</t>
        </is>
      </c>
      <c r="I312" s="49" t="str"/>
      <c r="J312" s="55">
        <f>INT((ROW()-2)/50)+1</f>
        <v/>
      </c>
      <c r="K312" s="55">
        <f>IF(H312="","Pending",IF(OR(H312="0",H312="1",H312="2",H312="U"),"Complete","Invalid"))</f>
        <v/>
      </c>
    </row>
    <row r="313" ht="84" customHeight="1">
      <c r="A313" s="43" t="inlineStr">
        <is>
          <t>v2q-016-candidate-12</t>
        </is>
      </c>
      <c r="B313" s="43" t="inlineStr">
        <is>
          <t>v2q-016</t>
        </is>
      </c>
      <c r="C313" s="43" t="inlineStr">
        <is>
          <t>How can an experienced worker obtain formal recognition for skills learned outside a training course?</t>
        </is>
      </c>
      <c r="D313" s="43" t="inlineStr">
        <is>
          <t>PMKVY 4.0 Recognition of Prior Learning assesses, upskills, and certifies candidates who already possess relevant skills or prior-learning experience.</t>
        </is>
      </c>
      <c r="E313" s="43" t="inlineStr">
        <is>
          <t>pilot-v2-doc-pmkvy-stt-0000-546ef459ea0e</t>
        </is>
      </c>
      <c r="F313" s="43" t="inlineStr">
        <is>
          <t>Pradhan Mantri Kaushal Vikas Yojana 4.0 - Short-Term Training</t>
        </is>
      </c>
      <c r="G313" s="43" t="inlineStr">
        <is>
          <t>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is>
      </c>
      <c r="H313" s="49" t="inlineStr">
        <is>
          <t>1</t>
        </is>
      </c>
      <c r="I313" s="49" t="str"/>
      <c r="J313" s="55">
        <f>INT((ROW()-2)/50)+1</f>
        <v/>
      </c>
      <c r="K313" s="55">
        <f>IF(H313="","Pending",IF(OR(H313="0",H313="1",H313="2",H313="U"),"Complete","Invalid"))</f>
        <v/>
      </c>
    </row>
    <row r="314" ht="84" customHeight="1">
      <c r="A314" s="43" t="inlineStr">
        <is>
          <t>v2q-030-candidate-22</t>
        </is>
      </c>
      <c r="B314" s="43" t="inlineStr">
        <is>
          <t>v2q-030</t>
        </is>
      </c>
      <c r="C314" s="43" t="inlineStr">
        <is>
          <t>What retirement benefit does APY offer, and which life-insurance programme administered through the same department covers death from any cause?</t>
        </is>
      </c>
      <c r="D314" s="43" t="inlineStr">
        <is>
          <t>APY offers guaranteed monthly pension options after age 60. PMJJBY, associated with the same Department of Financial Services, provides life cover for death due to any reason.</t>
        </is>
      </c>
      <c r="E314" s="43" t="inlineStr">
        <is>
          <t>pilot-v2-doc-ab-pmjay-0000-94c82a474579</t>
        </is>
      </c>
      <c r="F314" s="43" t="inlineStr">
        <is>
          <t>Ayushman Bharat - Pradhan Mantri Jan Arogya Yojana</t>
        </is>
      </c>
      <c r="G314"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314" s="49" t="inlineStr">
        <is>
          <t>0</t>
        </is>
      </c>
      <c r="I314" s="49" t="str"/>
      <c r="J314" s="55">
        <f>INT((ROW()-2)/50)+1</f>
        <v/>
      </c>
      <c r="K314" s="55">
        <f>IF(H314="","Pending",IF(OR(H314="0",H314="1",H314="2",H314="U"),"Complete","Invalid"))</f>
        <v/>
      </c>
    </row>
    <row r="315" ht="84" customHeight="1">
      <c r="A315" s="43" t="inlineStr">
        <is>
          <t>v2q-008-candidate-08</t>
        </is>
      </c>
      <c r="B315" s="43" t="inlineStr">
        <is>
          <t>v2q-008</t>
        </is>
      </c>
      <c r="C315" s="43" t="inlineStr">
        <is>
          <t>Which accident-insurance programme is abbreviated PMSBY, and which outcomes trigger its cover?</t>
        </is>
      </c>
      <c r="D315" s="43" t="inlineStr">
        <is>
          <t>PMSBY stands for Pradhan Mantri Suraksha Bima Yojana and covers accidental death and disability.</t>
        </is>
      </c>
      <c r="E315" s="43" t="inlineStr">
        <is>
          <t>pilot-v2-doc-pmkvy-sp-0003-738795a9ef96</t>
        </is>
      </c>
      <c r="F315" s="43" t="inlineStr">
        <is>
          <t>Pradhan Mantri Kaushal Vikas Yojana 4.0- Special Projects</t>
        </is>
      </c>
      <c r="G315"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315" s="49" t="inlineStr">
        <is>
          <t>0</t>
        </is>
      </c>
      <c r="I315" s="49" t="str"/>
      <c r="J315" s="55">
        <f>INT((ROW()-2)/50)+1</f>
        <v/>
      </c>
      <c r="K315" s="55">
        <f>IF(H315="","Pending",IF(OR(H315="0",H315="1",H315="2",H315="U"),"Complete","Invalid"))</f>
        <v/>
      </c>
    </row>
    <row r="316" ht="84" customHeight="1">
      <c r="A316" s="43" t="inlineStr">
        <is>
          <t>v2q-006-candidate-12</t>
        </is>
      </c>
      <c r="B316" s="43" t="inlineStr">
        <is>
          <t>v2q-006</t>
        </is>
      </c>
      <c r="C316" s="43" t="inlineStr">
        <is>
          <t>What annual hospitalisation cover does AB-PMJAY provide per eligible family?</t>
        </is>
      </c>
      <c r="D316" s="43" t="inlineStr">
        <is>
          <t>AB-PMJAY provides cashless hospitalisation cover of ₹5 lakh per family per year for secondary and tertiary healthcare.</t>
        </is>
      </c>
      <c r="E316" s="43" t="inlineStr">
        <is>
          <t>pilot-v2-doc-pmay-g-0001-db2db8af1543</t>
        </is>
      </c>
      <c r="F316" s="43" t="inlineStr">
        <is>
          <t>Pradhan Mantri Awaas Yojana - Gramin</t>
        </is>
      </c>
      <c r="G316"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316" s="49" t="inlineStr">
        <is>
          <t>0</t>
        </is>
      </c>
      <c r="I316" s="49" t="str"/>
      <c r="J316" s="55">
        <f>INT((ROW()-2)/50)+1</f>
        <v/>
      </c>
      <c r="K316" s="55">
        <f>IF(H316="","Pending",IF(OR(H316="0",H316="1",H316="2",H316="U"),"Complete","Invalid"))</f>
        <v/>
      </c>
    </row>
    <row r="317" ht="84" customHeight="1">
      <c r="A317" s="43" t="inlineStr">
        <is>
          <t>v2q-002-candidate-15</t>
        </is>
      </c>
      <c r="B317" s="43" t="inlineStr">
        <is>
          <t>v2q-002</t>
        </is>
      </c>
      <c r="C317" s="43" t="inlineStr">
        <is>
          <t>What maximum premium rates can farmers pay under PMFBY for Kharif, Rabi, and annual commercial or horticultural crops?</t>
        </is>
      </c>
      <c r="D317" s="43" t="inlineStr">
        <is>
          <t>Farmers pay at most 2% for Kharif food and oilseed crops, 1.5% for Rabi food and oilseed crops, and 5% for annual commercial or horticultural crops.</t>
        </is>
      </c>
      <c r="E317" s="43" t="inlineStr">
        <is>
          <t>pilot-v2-doc-apy-0002-66a5cc4017fb</t>
        </is>
      </c>
      <c r="F317" s="43" t="inlineStr">
        <is>
          <t>Atal Pension Yojana</t>
        </is>
      </c>
      <c r="G317"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317" s="49" t="inlineStr">
        <is>
          <t>0</t>
        </is>
      </c>
      <c r="I317" s="49" t="str"/>
      <c r="J317" s="55">
        <f>INT((ROW()-2)/50)+1</f>
        <v/>
      </c>
      <c r="K317" s="55">
        <f>IF(H317="","Pending",IF(OR(H317="0",H317="1",H317="2",H317="U"),"Complete","Invalid"))</f>
        <v/>
      </c>
    </row>
    <row r="318" ht="84" customHeight="1">
      <c r="A318" s="43" t="inlineStr">
        <is>
          <t>v2q-005-candidate-17</t>
        </is>
      </c>
      <c r="B318" s="43" t="inlineStr">
        <is>
          <t>v2q-005</t>
        </is>
      </c>
      <c r="C318" s="43" t="inlineStr">
        <is>
          <t>How many days of wage employment does MGNREGA guarantee a rural household in a financial year?</t>
        </is>
      </c>
      <c r="D318" s="43" t="inlineStr">
        <is>
          <t>MGNREGA guarantees at least 100 days of wage employment per financial year to a rural household whose adult members volunteer for unskilled work.</t>
        </is>
      </c>
      <c r="E318" s="43" t="inlineStr">
        <is>
          <t>pilot-v2-doc-ab-pmjay-0002-58c80bb24a6c</t>
        </is>
      </c>
      <c r="F318" s="43" t="inlineStr">
        <is>
          <t>Ayushman Bharat - Pradhan Mantri Jan Arogya Yojana</t>
        </is>
      </c>
      <c r="G318"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318" s="49" t="inlineStr">
        <is>
          <t>0</t>
        </is>
      </c>
      <c r="I318" s="49" t="str"/>
      <c r="J318" s="55">
        <f>INT((ROW()-2)/50)+1</f>
        <v/>
      </c>
      <c r="K318" s="55">
        <f>IF(H318="","Pending",IF(OR(H318="0",H318="1",H318="2",H318="U"),"Complete","Invalid"))</f>
        <v/>
      </c>
    </row>
    <row r="319" ht="84" customHeight="1">
      <c r="A319" s="43" t="inlineStr">
        <is>
          <t>v2q-031-candidate-21</t>
        </is>
      </c>
      <c r="B319" s="43" t="inlineStr">
        <is>
          <t>v2q-031</t>
        </is>
      </c>
      <c r="C319" s="43" t="inlineStr">
        <is>
          <t>How do three finance-sector programmes combine basic banking, life insurance, and accident insurance?</t>
        </is>
      </c>
      <c r="D319" s="43" t="inlineStr">
        <is>
          <t>PMJDY provides universal banking and access to financial services; PMJJBY supplies life cover for death from any cause; PMSBY supplies accidental-death and disability cover.</t>
        </is>
      </c>
      <c r="E319" s="43" t="inlineStr">
        <is>
          <t>pilot-v2-doc-apy-0001-add48d27a4a2</t>
        </is>
      </c>
      <c r="F319" s="43" t="inlineStr">
        <is>
          <t>Atal Pension Yojana</t>
        </is>
      </c>
      <c r="G319"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319" s="49" t="inlineStr">
        <is>
          <t>0</t>
        </is>
      </c>
      <c r="I319" s="49" t="str"/>
      <c r="J319" s="55">
        <f>INT((ROW()-2)/50)+1</f>
        <v/>
      </c>
      <c r="K319" s="55">
        <f>IF(H319="","Pending",IF(OR(H319="0",H319="1",H319="2",H319="U"),"Complete","Invalid"))</f>
        <v/>
      </c>
    </row>
    <row r="320" ht="84" customHeight="1">
      <c r="A320" s="43" t="inlineStr">
        <is>
          <t>v2q-005-candidate-20</t>
        </is>
      </c>
      <c r="B320" s="43" t="inlineStr">
        <is>
          <t>v2q-005</t>
        </is>
      </c>
      <c r="C320" s="43" t="inlineStr">
        <is>
          <t>How many days of wage employment does MGNREGA guarantee a rural household in a financial year?</t>
        </is>
      </c>
      <c r="D320" s="43" t="inlineStr">
        <is>
          <t>MGNREGA guarantees at least 100 days of wage employment per financial year to a rural household whose adult members volunteer for unskilled work.</t>
        </is>
      </c>
      <c r="E320" s="43" t="inlineStr">
        <is>
          <t>pilot-v2-doc-pm-kisan-guidelines-0012-a77da98de388</t>
        </is>
      </c>
      <c r="F320" s="43" t="inlineStr">
        <is>
          <t>PM-KISAN Operational Guidelines</t>
        </is>
      </c>
      <c r="G320" s="43" t="inlineStr">
        <is>
          <t>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is>
      </c>
      <c r="H320" s="49" t="inlineStr">
        <is>
          <t>0</t>
        </is>
      </c>
      <c r="I320" s="49" t="str"/>
      <c r="J320" s="55">
        <f>INT((ROW()-2)/50)+1</f>
        <v/>
      </c>
      <c r="K320" s="55">
        <f>IF(H320="","Pending",IF(OR(H320="0",H320="1",H320="2",H320="U"),"Complete","Invalid"))</f>
        <v/>
      </c>
    </row>
    <row r="321" ht="84" customHeight="1">
      <c r="A321" s="43" t="inlineStr">
        <is>
          <t>v2q-024-candidate-14</t>
        </is>
      </c>
      <c r="B321" s="43" t="inlineStr">
        <is>
          <t>v2q-024</t>
        </is>
      </c>
      <c r="C321" s="43" t="inlineStr">
        <is>
          <t>Which national health-assurance programme does NHA implement under the health ministry?</t>
        </is>
      </c>
      <c r="D321" s="43" t="inlineStr">
        <is>
          <t>The National Health Authority implements AB-PMJAY under the Ministry of Health and Family Welfare.</t>
        </is>
      </c>
      <c r="E321" s="43" t="inlineStr">
        <is>
          <t>pilot-v2-doc-pm-kmy-guidelines-0021-7ce201d9d183</t>
        </is>
      </c>
      <c r="F321" s="43" t="inlineStr">
        <is>
          <t>Pradhan Mantri Kisan Maan Dhan Yojana Operational Guidelines</t>
        </is>
      </c>
      <c r="G321"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321" s="49" t="inlineStr">
        <is>
          <t>0</t>
        </is>
      </c>
      <c r="I321" s="49" t="str"/>
      <c r="J321" s="55">
        <f>INT((ROW()-2)/50)+1</f>
        <v/>
      </c>
      <c r="K321" s="55">
        <f>IF(H321="","Pending",IF(OR(H321="0",H321="1",H321="2",H321="U"),"Complete","Invalid"))</f>
        <v/>
      </c>
    </row>
    <row r="322" ht="84" customHeight="1">
      <c r="A322" s="43" t="inlineStr">
        <is>
          <t>v2q-012-candidate-15</t>
        </is>
      </c>
      <c r="B322" s="43" t="inlineStr">
        <is>
          <t>v2q-012</t>
        </is>
      </c>
      <c r="C322" s="43" t="inlineStr">
        <is>
          <t>What does PM SVANidhi stand for, and who is its intended beneficiary group?</t>
        </is>
      </c>
      <c r="D322" s="43" t="inlineStr">
        <is>
          <t>PM SVANidhi stands for PM Street Vendor’s AtmaNirbhar Nidhi and supports street vendors through working-capital and related incentives.</t>
        </is>
      </c>
      <c r="E322" s="43" t="inlineStr">
        <is>
          <t>pilot-v2-doc-pm-kmy-guidelines-0003-30d7d7a0db81</t>
        </is>
      </c>
      <c r="F322" s="43" t="inlineStr">
        <is>
          <t>Pradhan Mantri Kisan Maan Dhan Yojana Operational Guidelines</t>
        </is>
      </c>
      <c r="G322"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322" s="49" t="inlineStr">
        <is>
          <t>0</t>
        </is>
      </c>
      <c r="I322" s="49" t="str"/>
      <c r="J322" s="55">
        <f>INT((ROW()-2)/50)+1</f>
        <v/>
      </c>
      <c r="K322" s="55">
        <f>IF(H322="","Pending",IF(OR(H322="0",H322="1",H322="2",H322="U"),"Complete","Invalid"))</f>
        <v/>
      </c>
    </row>
    <row r="323" ht="84" customHeight="1">
      <c r="A323" s="43" t="inlineStr">
        <is>
          <t>v2q-034-candidate-09</t>
        </is>
      </c>
      <c r="B323" s="43" t="inlineStr">
        <is>
          <t>v2q-034</t>
        </is>
      </c>
      <c r="C323" s="43" t="inlineStr">
        <is>
          <t>How do three programmes meet distinct household needs for rural housing, clean cooking, and food security?</t>
        </is>
      </c>
      <c r="D323" s="43" t="inlineStr">
        <is>
          <t>PMAY-G supports pucca rural housing with basic amenities; PMUY provides LPG access to deprived households replacing traditional cooking fuels; PMGKAY provides free foodgrains to eligible AAY and PHH ration-card holders.</t>
        </is>
      </c>
      <c r="E323" s="43" t="inlineStr">
        <is>
          <t>pilot-v2-doc-pmuy-0000-ad06c0c09d46</t>
        </is>
      </c>
      <c r="F323" s="43" t="inlineStr">
        <is>
          <t>Pradhan Mantri Ujjwala Yojana</t>
        </is>
      </c>
      <c r="G323"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323" s="49" t="inlineStr">
        <is>
          <t>2</t>
        </is>
      </c>
      <c r="I323" s="49" t="str"/>
      <c r="J323" s="55">
        <f>INT((ROW()-2)/50)+1</f>
        <v/>
      </c>
      <c r="K323" s="55">
        <f>IF(H323="","Pending",IF(OR(H323="0",H323="1",H323="2",H323="U"),"Complete","Invalid"))</f>
        <v/>
      </c>
    </row>
    <row r="324" ht="84" customHeight="1">
      <c r="A324" s="43" t="inlineStr">
        <is>
          <t>v2q-009-candidate-25</t>
        </is>
      </c>
      <c r="B324" s="43" t="inlineStr">
        <is>
          <t>v2q-009</t>
        </is>
      </c>
      <c r="C324" s="43" t="inlineStr">
        <is>
          <t>What does APY stand for, and what monthly pension range does it guarantee after age 60?</t>
        </is>
      </c>
      <c r="D324" s="43" t="inlineStr">
        <is>
          <t>APY stands for Atal Pension Yojana and offers guaranteed monthly pension options from ₹1,000 to ₹5,000 after age 60.</t>
        </is>
      </c>
      <c r="E324" s="43" t="inlineStr">
        <is>
          <t>pilot-v2-doc-ab-pmjay-0003-1242266bb260</t>
        </is>
      </c>
      <c r="F324" s="43" t="inlineStr">
        <is>
          <t>Ayushman Bharat - Pradhan Mantri Jan Arogya Yojana</t>
        </is>
      </c>
      <c r="G324"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324" s="49" t="inlineStr">
        <is>
          <t>0</t>
        </is>
      </c>
      <c r="I324" s="49" t="str"/>
      <c r="J324" s="55">
        <f>INT((ROW()-2)/50)+1</f>
        <v/>
      </c>
      <c r="K324" s="55">
        <f>IF(H324="","Pending",IF(OR(H324="0",H324="1",H324="2",H324="U"),"Complete","Invalid"))</f>
        <v/>
      </c>
    </row>
    <row r="325" ht="84" customHeight="1">
      <c r="A325" s="43" t="inlineStr">
        <is>
          <t>v2q-010-candidate-11</t>
        </is>
      </c>
      <c r="B325" s="43" t="inlineStr">
        <is>
          <t>v2q-010</t>
        </is>
      </c>
      <c r="C325" s="43" t="inlineStr">
        <is>
          <t>What is the full form of PM POSHAN, and what meal benefit does it provide?</t>
        </is>
      </c>
      <c r="D325" s="43" t="inlineStr">
        <is>
          <t>PM POSHAN means Prime Minister's Overarching Scheme for Holistic Nourishment and provides one hot cooked meal to children in government and government-aided schools.</t>
        </is>
      </c>
      <c r="E325" s="43" t="inlineStr">
        <is>
          <t>pilot-v2-doc-pm-poshan-0001-f1d73701c602</t>
        </is>
      </c>
      <c r="F325" s="43" t="inlineStr">
        <is>
          <t>PM POSHAN - Prime Minister's Overarching Scheme For Holistic Nourishment</t>
        </is>
      </c>
      <c r="G325" s="43" t="inlineStr">
        <is>
          <t>Primary: Calorie – 700; Protein - 20 gms Food norms per child per day: Primary: Food grains - 100 gms; Pulses - 20 gms; Vegetables - 50 gms; Oil &amp; fat - 5 gms, Salt &amp; condiments - As per need. Upper Primary: Food grains - 150 gms; Pulses - 30 gms; Vegetables - 75 gms; Oil &amp; fat – 7.5 gms, Salt &amp; condiments - As per need. Under the Scheme, there is the provision of hot cooked meals to children of pre-schools or Bal Vatika (before class I) in primary schools also in addition to the 11.80 crore children of classes I to VIII studying in 11.20 lakh schools.. The applicant must be a citizen of India. The applicant must be studying in a Primary or Upper Primary class (Class 1st to Class 8th) in a Government or a Government-aided school.. There is no application process for this scheme. PM POSHAN is equally applicable to all children who are studying in Government and Government – aided schools.</t>
        </is>
      </c>
      <c r="H325" s="49" t="inlineStr">
        <is>
          <t>2</t>
        </is>
      </c>
      <c r="I325" s="49" t="str"/>
      <c r="J325" s="55">
        <f>INT((ROW()-2)/50)+1</f>
        <v/>
      </c>
      <c r="K325" s="55">
        <f>IF(H325="","Pending",IF(OR(H325="0",H325="1",H325="2",H325="U"),"Complete","Invalid"))</f>
        <v/>
      </c>
    </row>
    <row r="326" ht="84" customHeight="1">
      <c r="A326" s="43" t="inlineStr">
        <is>
          <t>v2q-004-candidate-24</t>
        </is>
      </c>
      <c r="B326" s="43" t="inlineStr">
        <is>
          <t>v2q-004</t>
        </is>
      </c>
      <c r="C326" s="43" t="inlineStr">
        <is>
          <t>What is the maximum micro-loan amount stated for PMMY?</t>
        </is>
      </c>
      <c r="D326" s="43" t="inlineStr">
        <is>
          <t>PMMY facilitates micro-credit loans up to ₹20 lakh for eligible income-generating micro-enterprises.</t>
        </is>
      </c>
      <c r="E326" s="43" t="inlineStr">
        <is>
          <t>pilot-v2-doc-pm-janman-0001-0deee4377b38</t>
        </is>
      </c>
      <c r="F326" s="43" t="inlineStr">
        <is>
          <t>PM Janjati Adivasi Nyaya Maha Abhiyan (PM JANMAN)</t>
        </is>
      </c>
      <c r="G326"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326" s="49" t="inlineStr">
        <is>
          <t>0</t>
        </is>
      </c>
      <c r="I326" s="49" t="str"/>
      <c r="J326" s="55">
        <f>INT((ROW()-2)/50)+1</f>
        <v/>
      </c>
      <c r="K326" s="55">
        <f>IF(H326="","Pending",IF(OR(H326="0",H326="1",H326="2",H326="U"),"Complete","Invalid"))</f>
        <v/>
      </c>
    </row>
    <row r="327" ht="84" customHeight="1">
      <c r="A327" s="43" t="inlineStr">
        <is>
          <t>v2q-033-candidate-06</t>
        </is>
      </c>
      <c r="B327" s="43" t="inlineStr">
        <is>
          <t>v2q-033</t>
        </is>
      </c>
      <c r="C327" s="43" t="inlineStr">
        <is>
          <t>How do three programmes support micro-enterprises, new enterprise creation, and street-vendor livelihoods through different financial mechanisms?</t>
        </is>
      </c>
      <c r="D327" s="43" t="inlineStr">
        <is>
          <t>PMMY provides micro-credit to eligible micro-enterprises; PMEGP uses a credit-linked subsidy to establish new micro-enterprises; PM SVANidhi provides street vendors collateral-free working-capital loans, interest subsidy, and digital-payment incentives.</t>
        </is>
      </c>
      <c r="E327" s="43" t="inlineStr">
        <is>
          <t>pilot-v2-doc-pmegp-0002-f67d4c730011</t>
        </is>
      </c>
      <c r="F327" s="43" t="inlineStr">
        <is>
          <t>Prime Minister's Employment Generation Programme</t>
        </is>
      </c>
      <c r="G327" s="43" t="inlineStr">
        <is>
          <t>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The maximum cost of the project/unit admissible for Margin Money subsidy under the Manufacturing sector for upgradation is ₹10,00,00,000. The maximum subsidy would be ₹15,00,000 (₹20,00,000 for NER and Hill States). The maximum cost of the project/unit admissible for Margin Money subsidy under the Business/Service sector for upgradation is ₹25,00,000. The maximum subsidy would be ₹3,75,000 (₹5,00,000 for NER and Hill States). The balance amount (excluding the own contribution)of the total project cost will be provided by Banks. If the total project cost exceeds ₹10,00,00,000 or ₹25,00,000 for Manufacturing and Service/Business sector respectively, the balance amount may be provided by banks without any Government subsidy..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t>
        </is>
      </c>
      <c r="H327" s="49" t="inlineStr">
        <is>
          <t>2</t>
        </is>
      </c>
      <c r="I327" s="49" t="str"/>
      <c r="J327" s="55">
        <f>INT((ROW()-2)/50)+1</f>
        <v/>
      </c>
      <c r="K327" s="55">
        <f>IF(H327="","Pending",IF(OR(H327="0",H327="1",H327="2",H327="U"),"Complete","Invalid"))</f>
        <v/>
      </c>
    </row>
    <row r="328" ht="84" customHeight="1">
      <c r="A328" s="43" t="inlineStr">
        <is>
          <t>v2q-030-candidate-15</t>
        </is>
      </c>
      <c r="B328" s="43" t="inlineStr">
        <is>
          <t>v2q-030</t>
        </is>
      </c>
      <c r="C328" s="43" t="inlineStr">
        <is>
          <t>What retirement benefit does APY offer, and which life-insurance programme administered through the same department covers death from any cause?</t>
        </is>
      </c>
      <c r="D328" s="43" t="inlineStr">
        <is>
          <t>APY offers guaranteed monthly pension options after age 60. PMJJBY, associated with the same Department of Financial Services, provides life cover for death due to any reason.</t>
        </is>
      </c>
      <c r="E328" s="43" t="inlineStr">
        <is>
          <t>pilot-v2-doc-pm-kmy-guidelines-0002-ae644e1f8c00</t>
        </is>
      </c>
      <c r="F328" s="43" t="inlineStr">
        <is>
          <t>Pradhan Mantri Kisan Maan Dhan Yojana Operational Guidelines</t>
        </is>
      </c>
      <c r="G328"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328" s="49" t="inlineStr">
        <is>
          <t>0</t>
        </is>
      </c>
      <c r="I328" s="49" t="str"/>
      <c r="J328" s="55">
        <f>INT((ROW()-2)/50)+1</f>
        <v/>
      </c>
      <c r="K328" s="55">
        <f>IF(H328="","Pending",IF(OR(H328="0",H328="1",H328="2",H328="U"),"Complete","Invalid"))</f>
        <v/>
      </c>
    </row>
    <row r="329" ht="84" customHeight="1">
      <c r="A329" s="43" t="inlineStr">
        <is>
          <t>v2q-019-candidate-09</t>
        </is>
      </c>
      <c r="B329" s="43" t="inlineStr">
        <is>
          <t>v2q-019</t>
        </is>
      </c>
      <c r="C329" s="43" t="inlineStr">
        <is>
          <t>What role does the Ministry of Petroleum and Natural Gas have in Ujjwala 2.0?</t>
        </is>
      </c>
      <c r="D329" s="43" t="inlineStr">
        <is>
          <t>The ministry introduced Ujjwala 2.0 to provide LPG connections and promote clean cooking fuel among poor, rural, and deprived households.</t>
        </is>
      </c>
      <c r="E329" s="43" t="inlineStr">
        <is>
          <t>pilot-v2-doc-pmkvy-sp-0000-0fc5cf1d7fb0</t>
        </is>
      </c>
      <c r="F329" s="43" t="inlineStr">
        <is>
          <t>Pradhan Mantri Kaushal Vikas Yojana 4.0- Special Projects</t>
        </is>
      </c>
      <c r="G329"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329" s="49" t="inlineStr">
        <is>
          <t>0</t>
        </is>
      </c>
      <c r="I329" s="49" t="str"/>
      <c r="J329" s="55">
        <f>INT((ROW()-2)/50)+1</f>
        <v/>
      </c>
      <c r="K329" s="55">
        <f>IF(H329="","Pending",IF(OR(H329="0",H329="1",H329="2",H329="U"),"Complete","Invalid"))</f>
        <v/>
      </c>
    </row>
    <row r="330" ht="84" customHeight="1">
      <c r="A330" s="43" t="inlineStr">
        <is>
          <t>v2q-007-candidate-12</t>
        </is>
      </c>
      <c r="B330" s="43" t="inlineStr">
        <is>
          <t>v2q-007</t>
        </is>
      </c>
      <c r="C330" s="43" t="inlineStr">
        <is>
          <t>What is the full form of PMJJBY, and which event does its life insurance cover?</t>
        </is>
      </c>
      <c r="D330" s="43" t="inlineStr">
        <is>
          <t>PMJJBY stands for Pradhan Mantri Jeevan Jyoti Bima Yojana and provides life-insurance cover for death due to any reason.</t>
        </is>
      </c>
      <c r="E330" s="43" t="inlineStr">
        <is>
          <t>pilot-v2-doc-pm-kisan-guidelines-0010-3f4cd01daefd</t>
        </is>
      </c>
      <c r="F330" s="43" t="inlineStr">
        <is>
          <t>PM-KISAN Operational Guidelines</t>
        </is>
      </c>
      <c r="G330" s="43" t="inlineStr">
        <is>
          <t>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   will  designate  a  Nodal  Department  for
implementation of the scheme and coordinating with Central Government with regard to
implementation of Income Support Scheme.
8.3  On the lines of PMU at central level, States  / UTs may consider setting up
dedicated Project Monitoring Units at State  / UT Level. 0.125% for the amount of
installments transferred to beneficiaries can be transferred by Central Government to
State / UT Government to cover the expenditure on their PMUs, if established and for
meeting  other  related  administrative expenses  including  cost  to be  incurred  for
procurement  of  stationary,  field  verification,   filling  of  prescribed  formats,  their
certification and its uploading as well as incentive for field functionaries, publicity, etc.
States / UTs will furnish the details of the account to which Administrative Charges are
credited by the Central Government. The administrative charges payable to the States /
UTs will be provided by Government of India based on the volume of work and the
number of beneficiaries.
                                         7
9.    PM-Kisan Portal for implementation of the scheme (Beneficiary Details
uploading by State)
9.1    Beneficiaries under the scheme are 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t>
        </is>
      </c>
      <c r="H330" s="49" t="inlineStr">
        <is>
          <t>0</t>
        </is>
      </c>
      <c r="I330" s="49" t="str"/>
      <c r="J330" s="55">
        <f>INT((ROW()-2)/50)+1</f>
        <v/>
      </c>
      <c r="K330" s="55">
        <f>IF(H330="","Pending",IF(OR(H330="0",H330="1",H330="2",H330="U"),"Complete","Invalid"))</f>
        <v/>
      </c>
    </row>
    <row r="331" ht="84" customHeight="1">
      <c r="A331" s="43" t="inlineStr">
        <is>
          <t>v2q-001-candidate-08</t>
        </is>
      </c>
      <c r="B331" s="43" t="inlineStr">
        <is>
          <t>v2q-001</t>
        </is>
      </c>
      <c r="C331" s="43" t="inlineStr">
        <is>
          <t>What is the minimum house size specified under PMAY-G?</t>
        </is>
      </c>
      <c r="D331" s="43" t="inlineStr">
        <is>
          <t>The minimum house size is 25 square metres, including a dedicated hygienic cooking area.</t>
        </is>
      </c>
      <c r="E331" s="43" t="inlineStr">
        <is>
          <t>pilot-v2-doc-pm-janman-0002-d0844e3327b6</t>
        </is>
      </c>
      <c r="F331" s="43" t="inlineStr">
        <is>
          <t>PM Janjati Adivasi Nyaya Maha Abhiyan (PM JANMAN)</t>
        </is>
      </c>
      <c r="G331"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331" s="49" t="inlineStr">
        <is>
          <t>0</t>
        </is>
      </c>
      <c r="I331" s="49" t="str"/>
      <c r="J331" s="55">
        <f>INT((ROW()-2)/50)+1</f>
        <v/>
      </c>
      <c r="K331" s="55">
        <f>IF(H331="","Pending",IF(OR(H331="0",H331="1",H331="2",H331="U"),"Complete","Invalid"))</f>
        <v/>
      </c>
    </row>
    <row r="332" ht="84" customHeight="1">
      <c r="A332" s="43" t="inlineStr">
        <is>
          <t>v2q-007-candidate-25</t>
        </is>
      </c>
      <c r="B332" s="43" t="inlineStr">
        <is>
          <t>v2q-007</t>
        </is>
      </c>
      <c r="C332" s="43" t="inlineStr">
        <is>
          <t>What is the full form of PMJJBY, and which event does its life insurance cover?</t>
        </is>
      </c>
      <c r="D332" s="43" t="inlineStr">
        <is>
          <t>PMJJBY stands for Pradhan Mantri Jeevan Jyoti Bima Yojana and provides life-insurance cover for death due to any reason.</t>
        </is>
      </c>
      <c r="E332" s="43" t="inlineStr">
        <is>
          <t>pilot-v2-doc-pm-janman-0000-69ac65d10edc</t>
        </is>
      </c>
      <c r="F332" s="43" t="inlineStr">
        <is>
          <t>PM Janjati Adivasi Nyaya Maha Abhiyan (PM JANMAN)</t>
        </is>
      </c>
      <c r="G332"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332" s="49" t="inlineStr">
        <is>
          <t>0</t>
        </is>
      </c>
      <c r="I332" s="49" t="str"/>
      <c r="J332" s="55">
        <f>INT((ROW()-2)/50)+1</f>
        <v/>
      </c>
      <c r="K332" s="55">
        <f>IF(H332="","Pending",IF(OR(H332="0",H332="1",H332="2",H332="U"),"Complete","Invalid"))</f>
        <v/>
      </c>
    </row>
    <row r="333" ht="84" customHeight="1">
      <c r="A333" s="43" t="inlineStr">
        <is>
          <t>v2q-034-candidate-18</t>
        </is>
      </c>
      <c r="B333" s="43" t="inlineStr">
        <is>
          <t>v2q-034</t>
        </is>
      </c>
      <c r="C333" s="43" t="inlineStr">
        <is>
          <t>How do three programmes meet distinct household needs for rural housing, clean cooking, and food security?</t>
        </is>
      </c>
      <c r="D333" s="43" t="inlineStr">
        <is>
          <t>PMAY-G supports pucca rural housing with basic amenities; PMUY provides LPG access to deprived households replacing traditional cooking fuels; PMGKAY provides free foodgrains to eligible AAY and PHH ration-card holders.</t>
        </is>
      </c>
      <c r="E333" s="43" t="inlineStr">
        <is>
          <t>pilot-v2-doc-pm-janman-0000-69ac65d10edc</t>
        </is>
      </c>
      <c r="F333" s="43" t="inlineStr">
        <is>
          <t>PM Janjati Adivasi Nyaya Maha Abhiyan (PM JANMAN)</t>
        </is>
      </c>
      <c r="G333"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333" s="49" t="inlineStr">
        <is>
          <t>0</t>
        </is>
      </c>
      <c r="I333" s="49" t="str"/>
      <c r="J333" s="55">
        <f>INT((ROW()-2)/50)+1</f>
        <v/>
      </c>
      <c r="K333" s="55">
        <f>IF(H333="","Pending",IF(OR(H333="0",H333="1",H333="2",H333="U"),"Complete","Invalid"))</f>
        <v/>
      </c>
    </row>
    <row r="334" ht="84" customHeight="1">
      <c r="A334" s="43" t="inlineStr">
        <is>
          <t>v2q-002-candidate-02</t>
        </is>
      </c>
      <c r="B334" s="43" t="inlineStr">
        <is>
          <t>v2q-002</t>
        </is>
      </c>
      <c r="C334" s="43" t="inlineStr">
        <is>
          <t>What maximum premium rates can farmers pay under PMFBY for Kharif, Rabi, and annual commercial or horticultural crops?</t>
        </is>
      </c>
      <c r="D334" s="43" t="inlineStr">
        <is>
          <t>Farmers pay at most 2% for Kharif food and oilseed crops, 1.5% for Rabi food and oilseed crops, and 5% for annual commercial or horticultural crops.</t>
        </is>
      </c>
      <c r="E334" s="43" t="inlineStr">
        <is>
          <t>pilot-v2-doc-pmfby-0005-981661f0b09d</t>
        </is>
      </c>
      <c r="F334" s="43" t="inlineStr">
        <is>
          <t>Pradhan Mantri Fasal Bima Yojna (PMFBY)</t>
        </is>
      </c>
      <c r="G334" s="43" t="inlineStr">
        <is>
          <t>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 You can track the application status on the PMFBY website through the ‘Application Status’ option on the home page. Keep copies of all documents submitted and the acknowledgement receipt for future reference. Note down the contact details of the CSC centre for any queries or assistance.</t>
        </is>
      </c>
      <c r="H334" s="49" t="inlineStr">
        <is>
          <t>1</t>
        </is>
      </c>
      <c r="I334" s="49" t="str"/>
      <c r="J334" s="55">
        <f>INT((ROW()-2)/50)+1</f>
        <v/>
      </c>
      <c r="K334" s="55">
        <f>IF(H334="","Pending",IF(OR(H334="0",H334="1",H334="2",H334="U"),"Complete","Invalid"))</f>
        <v/>
      </c>
    </row>
    <row r="335" ht="84" customHeight="1">
      <c r="A335" s="43" t="inlineStr">
        <is>
          <t>v2q-011-candidate-08</t>
        </is>
      </c>
      <c r="B335" s="43" t="inlineStr">
        <is>
          <t>v2q-011</t>
        </is>
      </c>
      <c r="C335" s="43" t="inlineStr">
        <is>
          <t>What does PM JANMAN stand for, and which communities does it target?</t>
        </is>
      </c>
      <c r="D335" s="43" t="inlineStr">
        <is>
          <t>PM JANMAN stands for PM Janjati Adivasi Nyaya Maha Abhiyan and targets Particularly Vulnerable Tribal Groups.</t>
        </is>
      </c>
      <c r="E335" s="43" t="inlineStr">
        <is>
          <t>pilot-v2-doc-pmegp-0003-43256e8e6645</t>
        </is>
      </c>
      <c r="F335" s="43" t="inlineStr">
        <is>
          <t>Prime Minister's Employment Generation Programme</t>
        </is>
      </c>
      <c r="G335"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335" s="49" t="inlineStr">
        <is>
          <t>0</t>
        </is>
      </c>
      <c r="I335" s="49" t="str"/>
      <c r="J335" s="55">
        <f>INT((ROW()-2)/50)+1</f>
        <v/>
      </c>
      <c r="K335" s="55">
        <f>IF(H335="","Pending",IF(OR(H335="0",H335="1",H335="2",H335="U"),"Complete","Invalid"))</f>
        <v/>
      </c>
    </row>
    <row r="336" ht="84" customHeight="1">
      <c r="A336" s="43" t="inlineStr">
        <is>
          <t>v2q-030-candidate-18</t>
        </is>
      </c>
      <c r="B336" s="43" t="inlineStr">
        <is>
          <t>v2q-030</t>
        </is>
      </c>
      <c r="C336" s="43" t="inlineStr">
        <is>
          <t>What retirement benefit does APY offer, and which life-insurance programme administered through the same department covers death from any cause?</t>
        </is>
      </c>
      <c r="D336" s="43" t="inlineStr">
        <is>
          <t>APY offers guaranteed monthly pension options after age 60. PMJJBY, associated with the same Department of Financial Services, provides life cover for death due to any reason.</t>
        </is>
      </c>
      <c r="E336" s="43" t="inlineStr">
        <is>
          <t>pilot-v2-doc-pm-kmy-guidelines-0021-7ce201d9d183</t>
        </is>
      </c>
      <c r="F336" s="43" t="inlineStr">
        <is>
          <t>Pradhan Mantri Kisan Maan Dhan Yojana Operational Guidelines</t>
        </is>
      </c>
      <c r="G336"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336" s="49" t="inlineStr">
        <is>
          <t>0</t>
        </is>
      </c>
      <c r="I336" s="49" t="str"/>
      <c r="J336" s="55">
        <f>INT((ROW()-2)/50)+1</f>
        <v/>
      </c>
      <c r="K336" s="55">
        <f>IF(H336="","Pending",IF(OR(H336="0",H336="1",H336="2",H336="U"),"Complete","Invalid"))</f>
        <v/>
      </c>
    </row>
    <row r="337" ht="84" customHeight="1">
      <c r="A337" s="43" t="inlineStr">
        <is>
          <t>v2q-007-candidate-04</t>
        </is>
      </c>
      <c r="B337" s="43" t="inlineStr">
        <is>
          <t>v2q-007</t>
        </is>
      </c>
      <c r="C337" s="43" t="inlineStr">
        <is>
          <t>What is the full form of PMJJBY, and which event does its life insurance cover?</t>
        </is>
      </c>
      <c r="D337" s="43" t="inlineStr">
        <is>
          <t>PMJJBY stands for Pradhan Mantri Jeevan Jyoti Bima Yojana and provides life-insurance cover for death due to any reason.</t>
        </is>
      </c>
      <c r="E337" s="43" t="inlineStr">
        <is>
          <t>pilot-v2-doc-ab-pmjay-0001-a632a7205efc</t>
        </is>
      </c>
      <c r="F337" s="43" t="inlineStr">
        <is>
          <t>Ayushman Bharat - Pradhan Mantri Jan Arogya Yojana</t>
        </is>
      </c>
      <c r="G337"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37" s="49" t="inlineStr">
        <is>
          <t>0</t>
        </is>
      </c>
      <c r="I337" s="49" t="str"/>
      <c r="J337" s="55">
        <f>INT((ROW()-2)/50)+1</f>
        <v/>
      </c>
      <c r="K337" s="55">
        <f>IF(H337="","Pending",IF(OR(H337="0",H337="1",H337="2",H337="U"),"Complete","Invalid"))</f>
        <v/>
      </c>
    </row>
    <row r="338" ht="84" customHeight="1">
      <c r="A338" s="43" t="inlineStr">
        <is>
          <t>v2q-008-candidate-22</t>
        </is>
      </c>
      <c r="B338" s="43" t="inlineStr">
        <is>
          <t>v2q-008</t>
        </is>
      </c>
      <c r="C338" s="43" t="inlineStr">
        <is>
          <t>Which accident-insurance programme is abbreviated PMSBY, and which outcomes trigger its cover?</t>
        </is>
      </c>
      <c r="D338" s="43" t="inlineStr">
        <is>
          <t>PMSBY stands for Pradhan Mantri Suraksha Bima Yojana and covers accidental death and disability.</t>
        </is>
      </c>
      <c r="E338" s="43" t="inlineStr">
        <is>
          <t>pilot-v2-doc-ab-pmjay-0003-1242266bb260</t>
        </is>
      </c>
      <c r="F338" s="43" t="inlineStr">
        <is>
          <t>Ayushman Bharat - Pradhan Mantri Jan Arogya Yojana</t>
        </is>
      </c>
      <c r="G338"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338" s="49" t="inlineStr">
        <is>
          <t>0</t>
        </is>
      </c>
      <c r="I338" s="49" t="str"/>
      <c r="J338" s="55">
        <f>INT((ROW()-2)/50)+1</f>
        <v/>
      </c>
      <c r="K338" s="55">
        <f>IF(H338="","Pending",IF(OR(H338="0",H338="1",H338="2",H338="U"),"Complete","Invalid"))</f>
        <v/>
      </c>
    </row>
    <row r="339" ht="84" customHeight="1">
      <c r="A339" s="43" t="inlineStr">
        <is>
          <t>v2q-001-candidate-03</t>
        </is>
      </c>
      <c r="B339" s="43" t="inlineStr">
        <is>
          <t>v2q-001</t>
        </is>
      </c>
      <c r="C339" s="43" t="inlineStr">
        <is>
          <t>What is the minimum house size specified under PMAY-G?</t>
        </is>
      </c>
      <c r="D339" s="43" t="inlineStr">
        <is>
          <t>The minimum house size is 25 square metres, including a dedicated hygienic cooking area.</t>
        </is>
      </c>
      <c r="E339" s="43" t="inlineStr">
        <is>
          <t>pilot-v2-doc-pmay-g-0003-2769023a3f73</t>
        </is>
      </c>
      <c r="F339" s="43" t="inlineStr">
        <is>
          <t>Pradhan Mantri Awaas Yojana - Gramin</t>
        </is>
      </c>
      <c r="G339"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339" s="49" t="inlineStr">
        <is>
          <t>1</t>
        </is>
      </c>
      <c r="I339" s="49" t="str"/>
      <c r="J339" s="55">
        <f>INT((ROW()-2)/50)+1</f>
        <v/>
      </c>
      <c r="K339" s="55">
        <f>IF(H339="","Pending",IF(OR(H339="0",H339="1",H339="2",H339="U"),"Complete","Invalid"))</f>
        <v/>
      </c>
    </row>
    <row r="340" ht="84" customHeight="1">
      <c r="A340" s="43" t="inlineStr">
        <is>
          <t>v2q-023-candidate-13</t>
        </is>
      </c>
      <c r="B340" s="43" t="inlineStr">
        <is>
          <t>v2q-023</t>
        </is>
      </c>
      <c r="C340" s="43" t="inlineStr">
        <is>
          <t>What role does a Gram Panchayat play when a household registers for MGNREGA?</t>
        </is>
      </c>
      <c r="D340" s="43" t="inlineStr">
        <is>
          <t>A household may apply through its local Gram Panchayat, which verifies residence, household identity, and adult membership details.</t>
        </is>
      </c>
      <c r="E340" s="43" t="inlineStr">
        <is>
          <t>pilot-v2-doc-mgnrega-0001-5203a455caa6</t>
        </is>
      </c>
      <c r="F340" s="43" t="inlineStr">
        <is>
          <t>Mahatma Gandhi National Rural Employment Guarantee Act</t>
        </is>
      </c>
      <c r="G340"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340" s="49" t="inlineStr">
        <is>
          <t>2</t>
        </is>
      </c>
      <c r="I340" s="49" t="str"/>
      <c r="J340" s="55">
        <f>INT((ROW()-2)/50)+1</f>
        <v/>
      </c>
      <c r="K340" s="55">
        <f>IF(H340="","Pending",IF(OR(H340="0",H340="1",H340="2",H340="U"),"Complete","Invalid"))</f>
        <v/>
      </c>
    </row>
    <row r="341" ht="84" customHeight="1">
      <c r="A341" s="43" t="inlineStr">
        <is>
          <t>v2q-002-candidate-12</t>
        </is>
      </c>
      <c r="B341" s="43" t="inlineStr">
        <is>
          <t>v2q-002</t>
        </is>
      </c>
      <c r="C341" s="43" t="inlineStr">
        <is>
          <t>What maximum premium rates can farmers pay under PMFBY for Kharif, Rabi, and annual commercial or horticultural crops?</t>
        </is>
      </c>
      <c r="D341" s="43" t="inlineStr">
        <is>
          <t>Farmers pay at most 2% for Kharif food and oilseed crops, 1.5% for Rabi food and oilseed crops, and 5% for annual commercial or horticultural crops.</t>
        </is>
      </c>
      <c r="E341" s="43" t="inlineStr">
        <is>
          <t>pilot-v2-doc-pmfby-0004-25f813969307</t>
        </is>
      </c>
      <c r="F341" s="43" t="inlineStr">
        <is>
          <t>Pradhan Mantri Fasal Bima Yojna (PMFBY)</t>
        </is>
      </c>
      <c r="G341" s="43" t="inlineStr">
        <is>
          <t>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‘Application Status’ option on the home page..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t>
        </is>
      </c>
      <c r="H341" s="49" t="inlineStr">
        <is>
          <t>1</t>
        </is>
      </c>
      <c r="I341" s="49" t="str"/>
      <c r="J341" s="55">
        <f>INT((ROW()-2)/50)+1</f>
        <v/>
      </c>
      <c r="K341" s="55">
        <f>IF(H341="","Pending",IF(OR(H341="0",H341="1",H341="2",H341="U"),"Complete","Invalid"))</f>
        <v/>
      </c>
    </row>
    <row r="342" ht="84" customHeight="1">
      <c r="A342" s="43" t="inlineStr">
        <is>
          <t>v2q-013-candidate-01</t>
        </is>
      </c>
      <c r="B342" s="43" t="inlineStr">
        <is>
          <t>v2q-013</t>
        </is>
      </c>
      <c r="C342" s="43" t="inlineStr">
        <is>
          <t>Which initiative helps women in low-income countryside homes replace smoke-producing solid cooking materials with bottled gas?</t>
        </is>
      </c>
      <c r="D342" s="43" t="inlineStr">
        <is>
          <t>Pradhan Mantri Ujjwala Yojana provides LPG access to rural and deprived households that previously relied on traditional cooking fuels.</t>
        </is>
      </c>
      <c r="E342" s="43" t="inlineStr">
        <is>
          <t>pilot-v2-doc-pmay-g-0004-f8ee90715c3f</t>
        </is>
      </c>
      <c r="F342" s="43" t="inlineStr">
        <is>
          <t>Pradhan Mantri Awaas Yojana - Gramin</t>
        </is>
      </c>
      <c r="G342" s="43" t="inlineStr">
        <is>
          <t>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is>
      </c>
      <c r="H342" s="49" t="inlineStr">
        <is>
          <t>1</t>
        </is>
      </c>
      <c r="I342" s="49" t="str"/>
      <c r="J342" s="55">
        <f>INT((ROW()-2)/50)+1</f>
        <v/>
      </c>
      <c r="K342" s="55">
        <f>IF(H342="","Pending",IF(OR(H342="0",H342="1",H342="2",H342="U"),"Complete","Invalid"))</f>
        <v/>
      </c>
    </row>
    <row r="343" ht="84" customHeight="1">
      <c r="A343" s="43" t="inlineStr">
        <is>
          <t>v2q-024-candidate-07</t>
        </is>
      </c>
      <c r="B343" s="43" t="inlineStr">
        <is>
          <t>v2q-024</t>
        </is>
      </c>
      <c r="C343" s="43" t="inlineStr">
        <is>
          <t>Which national health-assurance programme does NHA implement under the health ministry?</t>
        </is>
      </c>
      <c r="D343" s="43" t="inlineStr">
        <is>
          <t>The National Health Authority implements AB-PMJAY under the Ministry of Health and Family Welfare.</t>
        </is>
      </c>
      <c r="E343" s="43" t="inlineStr">
        <is>
          <t>pilot-v2-doc-ab-pmjay-0001-a632a7205efc</t>
        </is>
      </c>
      <c r="F343" s="43" t="inlineStr">
        <is>
          <t>Ayushman Bharat - Pradhan Mantri Jan Arogya Yojana</t>
        </is>
      </c>
      <c r="G343"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43" s="49" t="inlineStr">
        <is>
          <t>1</t>
        </is>
      </c>
      <c r="I343" s="49" t="str"/>
      <c r="J343" s="55">
        <f>INT((ROW()-2)/50)+1</f>
        <v/>
      </c>
      <c r="K343" s="55">
        <f>IF(H343="","Pending",IF(OR(H343="0",H343="1",H343="2",H343="U"),"Complete","Invalid"))</f>
        <v/>
      </c>
    </row>
    <row r="344" ht="84" customHeight="1">
      <c r="A344" s="43" t="inlineStr">
        <is>
          <t>v2q-032-candidate-07</t>
        </is>
      </c>
      <c r="B344" s="43" t="inlineStr">
        <is>
          <t>v2q-032</t>
        </is>
      </c>
      <c r="C344" s="43" t="inlineStr">
        <is>
          <t>How do three farmer programmes separately address crop loss, current income needs, and old-age income security?</t>
        </is>
      </c>
      <c r="D344" s="43" t="inlineStr">
        <is>
          <t>PMFBY insures crops against specified losses; PM-KISAN transfers ₹6,000 annually to eligible farmer families; PM-KMY provides eligible small and marginal farmers an assured ₹3,000 monthly pension from age 60.</t>
        </is>
      </c>
      <c r="E344" s="43" t="inlineStr">
        <is>
          <t>pilot-v2-doc-pm-kisan-guidelines-0000-bbe94f08550e</t>
        </is>
      </c>
      <c r="F344" s="43" t="inlineStr">
        <is>
          <t>PM-KISAN Operational Guidelines</t>
        </is>
      </c>
      <c r="G344"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344" s="49" t="inlineStr">
        <is>
          <t>2</t>
        </is>
      </c>
      <c r="I344" s="49" t="str"/>
      <c r="J344" s="55">
        <f>INT((ROW()-2)/50)+1</f>
        <v/>
      </c>
      <c r="K344" s="55">
        <f>IF(H344="","Pending",IF(OR(H344="0",H344="1",H344="2",H344="U"),"Complete","Invalid"))</f>
        <v/>
      </c>
    </row>
    <row r="345" ht="84" customHeight="1">
      <c r="A345" s="43" t="inlineStr">
        <is>
          <t>v2q-003-candidate-12</t>
        </is>
      </c>
      <c r="B345" s="43" t="inlineStr">
        <is>
          <t>v2q-003</t>
        </is>
      </c>
      <c r="C345" s="43" t="inlineStr">
        <is>
          <t>What revised overdraft limit and RuPay accidental-insurance cover are stated for PMJDY?</t>
        </is>
      </c>
      <c r="D345" s="43" t="inlineStr">
        <is>
          <t>PMJDY states a revised overdraft limit of ₹10,000 and accidental-insurance cover of ₹2 lakh for RuPay cardholders.</t>
        </is>
      </c>
      <c r="E345" s="43" t="inlineStr">
        <is>
          <t>pilot-v2-doc-ab-pmjay-0001-a632a7205efc</t>
        </is>
      </c>
      <c r="F345" s="43" t="inlineStr">
        <is>
          <t>Ayushman Bharat - Pradhan Mantri Jan Arogya Yojana</t>
        </is>
      </c>
      <c r="G345"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45" s="49" t="inlineStr">
        <is>
          <t>0</t>
        </is>
      </c>
      <c r="I345" s="49" t="str"/>
      <c r="J345" s="55">
        <f>INT((ROW()-2)/50)+1</f>
        <v/>
      </c>
      <c r="K345" s="55">
        <f>IF(H345="","Pending",IF(OR(H345="0",H345="1",H345="2",H345="U"),"Complete","Invalid"))</f>
        <v/>
      </c>
    </row>
    <row r="346" ht="84" customHeight="1">
      <c r="A346" s="43" t="inlineStr">
        <is>
          <t>v2q-014-candidate-03</t>
        </is>
      </c>
      <c r="B346" s="43" t="inlineStr">
        <is>
          <t>v2q-014</t>
        </is>
      </c>
      <c r="C346" s="43" t="inlineStr">
        <is>
          <t>Under the national ration programme, what monthly cereal allocation goes to families in the poorest entitlement tier and to each person in the priority tier?</t>
        </is>
      </c>
      <c r="D346" s="43" t="inlineStr">
        <is>
          <t>AAY families receive 35 kilograms per family per month, while PHH beneficiaries receive 5 kilograms per person per month.</t>
        </is>
      </c>
      <c r="E346" s="43" t="inlineStr">
        <is>
          <t>pilot-v2-doc-pmay-g-0003-2769023a3f73</t>
        </is>
      </c>
      <c r="F346" s="43" t="inlineStr">
        <is>
          <t>Pradhan Mantri Awaas Yojana - Gramin</t>
        </is>
      </c>
      <c r="G346"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346" s="49" t="inlineStr">
        <is>
          <t>0</t>
        </is>
      </c>
      <c r="I346" s="49" t="str"/>
      <c r="J346" s="55">
        <f>INT((ROW()-2)/50)+1</f>
        <v/>
      </c>
      <c r="K346" s="55">
        <f>IF(H346="","Pending",IF(OR(H346="0",H346="1",H346="2",H346="U"),"Complete","Invalid"))</f>
        <v/>
      </c>
    </row>
    <row r="347" ht="84" customHeight="1">
      <c r="A347" s="43" t="inlineStr">
        <is>
          <t>v2q-005-candidate-14</t>
        </is>
      </c>
      <c r="B347" s="43" t="inlineStr">
        <is>
          <t>v2q-005</t>
        </is>
      </c>
      <c r="C347" s="43" t="inlineStr">
        <is>
          <t>How many days of wage employment does MGNREGA guarantee a rural household in a financial year?</t>
        </is>
      </c>
      <c r="D347" s="43" t="inlineStr">
        <is>
          <t>MGNREGA guarantees at least 100 days of wage employment per financial year to a rural household whose adult members volunteer for unskilled work.</t>
        </is>
      </c>
      <c r="E347" s="43" t="inlineStr">
        <is>
          <t>pilot-v2-doc-mgnrega-0003-008750b5fc90</t>
        </is>
      </c>
      <c r="F347" s="43" t="inlineStr">
        <is>
          <t>Mahatma Gandhi National Rural Employment Guarantee Act</t>
        </is>
      </c>
      <c r="G347" s="43" t="inlineStr">
        <is>
          <t>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is>
      </c>
      <c r="H347" s="49" t="inlineStr">
        <is>
          <t>1</t>
        </is>
      </c>
      <c r="I347" s="49" t="str"/>
      <c r="J347" s="55">
        <f>INT((ROW()-2)/50)+1</f>
        <v/>
      </c>
      <c r="K347" s="55">
        <f>IF(H347="","Pending",IF(OR(H347="0",H347="1",H347="2",H347="U"),"Complete","Invalid"))</f>
        <v/>
      </c>
    </row>
    <row r="348" ht="84" customHeight="1">
      <c r="A348" s="43" t="inlineStr">
        <is>
          <t>v2q-020-candidate-23</t>
        </is>
      </c>
      <c r="B348" s="43" t="inlineStr">
        <is>
          <t>v2q-020</t>
        </is>
      </c>
      <c r="C348" s="43" t="inlineStr">
        <is>
          <t>How do NSDC and SPIAs divide responsibility in the Special Projects arm of the national skill mission?</t>
        </is>
      </c>
      <c r="D348" s="43" t="inlineStr">
        <is>
          <t>NSDC supports the ministry’s implementation, while Special Projects Implementing Agencies deliver the projects on the ground.</t>
        </is>
      </c>
      <c r="E348" s="43" t="inlineStr">
        <is>
          <t>pilot-v2-doc-pmkvy-sp-0004-57e566374b9c</t>
        </is>
      </c>
      <c r="F348" s="43" t="inlineStr">
        <is>
          <t>Pradhan Mantri Kaushal Vikas Yojana 4.0- Special Projects</t>
        </is>
      </c>
      <c r="G348" s="43" t="inlineStr">
        <is>
          <t>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 applicant appears for assessment by an NCVET-approved Awarding Body / Assessment Agency after completion of On-the-Job Training, requiring more than 70% biometric attendance to be eligible. Stage 9: On successful completion, the applicant is awarded a Quick Response (QR) code-based digital certificate, issued via DigiLocker, an email/phone download link, and the Skill India Digital profile page, along with one printed certificate provided free of cost by the Training Provider.</t>
        </is>
      </c>
      <c r="H348" s="49" t="inlineStr">
        <is>
          <t>1</t>
        </is>
      </c>
      <c r="I348" s="49" t="str"/>
      <c r="J348" s="55">
        <f>INT((ROW()-2)/50)+1</f>
        <v/>
      </c>
      <c r="K348" s="55">
        <f>IF(H348="","Pending",IF(OR(H348="0",H348="1",H348="2",H348="U"),"Complete","Invalid"))</f>
        <v/>
      </c>
    </row>
    <row r="349" ht="84" customHeight="1">
      <c r="A349" s="43" t="inlineStr">
        <is>
          <t>v2q-026-candidate-11</t>
        </is>
      </c>
      <c r="B349" s="43" t="inlineStr">
        <is>
          <t>v2q-026</t>
        </is>
      </c>
      <c r="C349" s="43" t="inlineStr">
        <is>
          <t>What employment guarantee does MGNREGA provide, and which other programme from its ministry supplies pucca houses to rural households?</t>
        </is>
      </c>
      <c r="D349" s="43" t="inlineStr">
        <is>
          <t>MGNREGA guarantees at least 100 days of wage employment to qualifying rural households. PMAY-G, under the same Ministry of Rural Development, supports pucca houses with basic amenities for eligible rural households.</t>
        </is>
      </c>
      <c r="E349" s="43" t="inlineStr">
        <is>
          <t>pilot-v2-doc-pm-janman-0001-0deee4377b38</t>
        </is>
      </c>
      <c r="F349" s="43" t="inlineStr">
        <is>
          <t>PM Janjati Adivasi Nyaya Maha Abhiyan (PM JANMAN)</t>
        </is>
      </c>
      <c r="G349"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349" s="49" t="inlineStr">
        <is>
          <t>0</t>
        </is>
      </c>
      <c r="I349" s="49" t="str"/>
      <c r="J349" s="55">
        <f>INT((ROW()-2)/50)+1</f>
        <v/>
      </c>
      <c r="K349" s="55">
        <f>IF(H349="","Pending",IF(OR(H349="0",H349="1",H349="2",H349="U"),"Complete","Invalid"))</f>
        <v/>
      </c>
    </row>
    <row r="350" ht="84" customHeight="1">
      <c r="A350" s="43" t="inlineStr">
        <is>
          <t>v2q-034-candidate-14</t>
        </is>
      </c>
      <c r="B350" s="43" t="inlineStr">
        <is>
          <t>v2q-034</t>
        </is>
      </c>
      <c r="C350" s="43" t="inlineStr">
        <is>
          <t>How do three programmes meet distinct household needs for rural housing, clean cooking, and food security?</t>
        </is>
      </c>
      <c r="D350" s="43" t="inlineStr">
        <is>
          <t>PMAY-G supports pucca rural housing with basic amenities; PMUY provides LPG access to deprived households replacing traditional cooking fuels; PMGKAY provides free foodgrains to eligible AAY and PHH ration-card holders.</t>
        </is>
      </c>
      <c r="E350" s="43" t="inlineStr">
        <is>
          <t>pilot-v2-doc-pmay-g-0001-db2db8af1543</t>
        </is>
      </c>
      <c r="F350" s="43" t="inlineStr">
        <is>
          <t>Pradhan Mantri Awaas Yojana - Gramin</t>
        </is>
      </c>
      <c r="G350"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350" s="49" t="inlineStr">
        <is>
          <t>2</t>
        </is>
      </c>
      <c r="I350" s="49" t="str"/>
      <c r="J350" s="55">
        <f>INT((ROW()-2)/50)+1</f>
        <v/>
      </c>
      <c r="K350" s="55">
        <f>IF(H350="","Pending",IF(OR(H350="0",H350="1",H350="2",H350="U"),"Complete","Invalid"))</f>
        <v/>
      </c>
    </row>
    <row r="351" ht="84" customHeight="1">
      <c r="A351" s="43" t="inlineStr">
        <is>
          <t>v2q-008-candidate-11</t>
        </is>
      </c>
      <c r="B351" s="43" t="inlineStr">
        <is>
          <t>v2q-008</t>
        </is>
      </c>
      <c r="C351" s="43" t="inlineStr">
        <is>
          <t>Which accident-insurance programme is abbreviated PMSBY, and which outcomes trigger its cover?</t>
        </is>
      </c>
      <c r="D351" s="43" t="inlineStr">
        <is>
          <t>PMSBY stands for Pradhan Mantri Suraksha Bima Yojana and covers accidental death and disability.</t>
        </is>
      </c>
      <c r="E351" s="43" t="inlineStr">
        <is>
          <t>pilot-v2-doc-pmegp-0003-43256e8e6645</t>
        </is>
      </c>
      <c r="F351" s="43" t="inlineStr">
        <is>
          <t>Prime Minister's Employment Generation Programme</t>
        </is>
      </c>
      <c r="G351"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351" s="49" t="inlineStr">
        <is>
          <t>0</t>
        </is>
      </c>
      <c r="I351" s="49" t="str"/>
      <c r="J351" s="55">
        <f>INT((ROW()-2)/50)+1</f>
        <v/>
      </c>
      <c r="K351" s="55">
        <f>IF(H351="","Pending",IF(OR(H351="0",H351="1",H351="2",H351="U"),"Complete","Invalid"))</f>
        <v/>
      </c>
    </row>
    <row r="352" ht="84" customHeight="1">
      <c r="A352" s="43" t="inlineStr">
        <is>
          <t>v2q-001-candidate-20</t>
        </is>
      </c>
      <c r="B352" s="43" t="inlineStr">
        <is>
          <t>v2q-001</t>
        </is>
      </c>
      <c r="C352" s="43" t="inlineStr">
        <is>
          <t>What is the minimum house size specified under PMAY-G?</t>
        </is>
      </c>
      <c r="D352" s="43" t="inlineStr">
        <is>
          <t>The minimum house size is 25 square metres, including a dedicated hygienic cooking area.</t>
        </is>
      </c>
      <c r="E352" s="43" t="inlineStr">
        <is>
          <t>pilot-v2-doc-apy-0002-66a5cc4017fb</t>
        </is>
      </c>
      <c r="F352" s="43" t="inlineStr">
        <is>
          <t>Atal Pension Yojana</t>
        </is>
      </c>
      <c r="G352"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352" s="49" t="inlineStr">
        <is>
          <t>0</t>
        </is>
      </c>
      <c r="I352" s="49" t="str"/>
      <c r="J352" s="55">
        <f>INT((ROW()-2)/50)+1</f>
        <v/>
      </c>
      <c r="K352" s="55">
        <f>IF(H352="","Pending",IF(OR(H352="0",H352="1",H352="2",H352="U"),"Complete","Invalid"))</f>
        <v/>
      </c>
    </row>
    <row r="353" ht="84" customHeight="1">
      <c r="A353" s="43" t="inlineStr">
        <is>
          <t>v2q-019-candidate-08</t>
        </is>
      </c>
      <c r="B353" s="43" t="inlineStr">
        <is>
          <t>v2q-019</t>
        </is>
      </c>
      <c r="C353" s="43" t="inlineStr">
        <is>
          <t>What role does the Ministry of Petroleum and Natural Gas have in Ujjwala 2.0?</t>
        </is>
      </c>
      <c r="D353" s="43" t="inlineStr">
        <is>
          <t>The ministry introduced Ujjwala 2.0 to provide LPG connections and promote clean cooking fuel among poor, rural, and deprived households.</t>
        </is>
      </c>
      <c r="E353" s="43" t="inlineStr">
        <is>
          <t>pilot-v2-doc-pmjdy-0000-8b241ec39723</t>
        </is>
      </c>
      <c r="F353" s="43" t="inlineStr">
        <is>
          <t>Pradhan Mantri Jan Dhan Yojana</t>
        </is>
      </c>
      <c r="G353"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353" s="49" t="inlineStr">
        <is>
          <t>0</t>
        </is>
      </c>
      <c r="I353" s="49" t="str"/>
      <c r="J353" s="55">
        <f>INT((ROW()-2)/50)+1</f>
        <v/>
      </c>
      <c r="K353" s="55">
        <f>IF(H353="","Pending",IF(OR(H353="0",H353="1",H353="2",H353="U"),"Complete","Invalid"))</f>
        <v/>
      </c>
    </row>
    <row r="354" ht="84" customHeight="1">
      <c r="A354" s="43" t="inlineStr">
        <is>
          <t>v2q-016-candidate-07</t>
        </is>
      </c>
      <c r="B354" s="43" t="inlineStr">
        <is>
          <t>v2q-016</t>
        </is>
      </c>
      <c r="C354" s="43" t="inlineStr">
        <is>
          <t>How can an experienced worker obtain formal recognition for skills learned outside a training course?</t>
        </is>
      </c>
      <c r="D354" s="43" t="inlineStr">
        <is>
          <t>PMKVY 4.0 Recognition of Prior Learning assesses, upskills, and certifies candidates who already possess relevant skills or prior-learning experience.</t>
        </is>
      </c>
      <c r="E354" s="43" t="inlineStr">
        <is>
          <t>pilot-v2-doc-pmkvy-sp-0001-43aac7629fa6</t>
        </is>
      </c>
      <c r="F354" s="43" t="inlineStr">
        <is>
          <t>Pradhan Mantri Kaushal Vikas Yojana 4.0- Special Projects</t>
        </is>
      </c>
      <c r="G354" s="43" t="inlineStr">
        <is>
          <t>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 lifelong skilling through upskilling and reskilling to address the dynamic needs of the ever-changing market. The scheme ensures quality training delivery through trained pedagogy, standardised assessments, and industry-relevant curriculum. The scheme facilitates enhanced employability through training in transferable skills and incentives for employment generation. The scheme provides candidate-centric training with emphasis on industry-relevant skills.. The scheme aims to address the skilling needs of marginalised groups and difficult geographies. Project-based short-term skill training is provided to such candidates.. The following benefits are provided to candidates under Special Projects: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t>
        </is>
      </c>
      <c r="H354" s="49" t="inlineStr">
        <is>
          <t>1</t>
        </is>
      </c>
      <c r="I354" s="49" t="str"/>
      <c r="J354" s="55">
        <f>INT((ROW()-2)/50)+1</f>
        <v/>
      </c>
      <c r="K354" s="55">
        <f>IF(H354="","Pending",IF(OR(H354="0",H354="1",H354="2",H354="U"),"Complete","Invalid"))</f>
        <v/>
      </c>
    </row>
    <row r="355" ht="84" customHeight="1">
      <c r="A355" s="43" t="inlineStr">
        <is>
          <t>v2q-019-candidate-06</t>
        </is>
      </c>
      <c r="B355" s="43" t="inlineStr">
        <is>
          <t>v2q-019</t>
        </is>
      </c>
      <c r="C355" s="43" t="inlineStr">
        <is>
          <t>What role does the Ministry of Petroleum and Natural Gas have in Ujjwala 2.0?</t>
        </is>
      </c>
      <c r="D355" s="43" t="inlineStr">
        <is>
          <t>The ministry introduced Ujjwala 2.0 to provide LPG connections and promote clean cooking fuel among poor, rural, and deprived households.</t>
        </is>
      </c>
      <c r="E355" s="43" t="inlineStr">
        <is>
          <t>pilot-v2-doc-pmkvy-rpl-0002-a3163111d20f</t>
        </is>
      </c>
      <c r="F355" s="43" t="inlineStr">
        <is>
          <t>Pradhan Mantri Kaushal Vikas Yojana 4.0 - Recognition Of Prior Learning</t>
        </is>
      </c>
      <c r="G355" s="43" t="inlineStr">
        <is>
          <t>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 Mode of disbursement: Funds are transferred directly to the RPL-PIA's bank account through Direct Benefit Transfer (DBT).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The applicant should be an Indian national. The applicant should possess a valid Aadhaar. The applicant should be in the age group of 18 to 59 years. The applicant should be a candidate with prior learning experience or skills, willing to get assessed and certified. The applicant should have prior experience in the job role for which RPL certification is being sought, as specified in the job role. The applicant should fulfil the eligibility criteria of the respective job role.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t>
        </is>
      </c>
      <c r="H355" s="49" t="inlineStr">
        <is>
          <t>0</t>
        </is>
      </c>
      <c r="I355" s="49" t="str"/>
      <c r="J355" s="55">
        <f>INT((ROW()-2)/50)+1</f>
        <v/>
      </c>
      <c r="K355" s="55">
        <f>IF(H355="","Pending",IF(OR(H355="0",H355="1",H355="2",H355="U"),"Complete","Invalid"))</f>
        <v/>
      </c>
    </row>
    <row r="356" ht="84" customHeight="1">
      <c r="A356" s="43" t="inlineStr">
        <is>
          <t>v2q-012-candidate-21</t>
        </is>
      </c>
      <c r="B356" s="43" t="inlineStr">
        <is>
          <t>v2q-012</t>
        </is>
      </c>
      <c r="C356" s="43" t="inlineStr">
        <is>
          <t>What does PM SVANidhi stand for, and who is its intended beneficiary group?</t>
        </is>
      </c>
      <c r="D356" s="43" t="inlineStr">
        <is>
          <t>PM SVANidhi stands for PM Street Vendor’s AtmaNirbhar Nidhi and supports street vendors through working-capital and related incentives.</t>
        </is>
      </c>
      <c r="E356" s="43" t="inlineStr">
        <is>
          <t>pilot-v2-doc-ab-pmjay-0001-a632a7205efc</t>
        </is>
      </c>
      <c r="F356" s="43" t="inlineStr">
        <is>
          <t>Ayushman Bharat - Pradhan Mantri Jan Arogya Yojana</t>
        </is>
      </c>
      <c r="G356"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56" s="49" t="inlineStr">
        <is>
          <t>0</t>
        </is>
      </c>
      <c r="I356" s="49" t="str"/>
      <c r="J356" s="55">
        <f>INT((ROW()-2)/50)+1</f>
        <v/>
      </c>
      <c r="K356" s="55">
        <f>IF(H356="","Pending",IF(OR(H356="0",H356="1",H356="2",H356="U"),"Complete","Invalid"))</f>
        <v/>
      </c>
    </row>
    <row r="357" ht="84" customHeight="1">
      <c r="A357" s="43" t="inlineStr">
        <is>
          <t>v2q-028-candidate-04</t>
        </is>
      </c>
      <c r="B357" s="43" t="inlineStr">
        <is>
          <t>v2q-028</t>
        </is>
      </c>
      <c r="C357" s="43" t="inlineStr">
        <is>
          <t>What does PMKVY Recognition of Prior Learning certify, and which other pathway from its ministry serves candidates seeking fresh short-term skills training?</t>
        </is>
      </c>
      <c r="D357" s="43" t="inlineStr">
        <is>
          <t>PMKVY Recognition of Prior Learning certifies candidates’ existing skills. PMKVY Short-Term Training, under the same Ministry of Skill Development and Entrepreneurship, provides fresh skilling, reskilling, or upskilling.</t>
        </is>
      </c>
      <c r="E357" s="43" t="inlineStr">
        <is>
          <t>pilot-v2-doc-pmkvy-stt-0002-9b8eeae9f924</t>
        </is>
      </c>
      <c r="F357" s="43" t="inlineStr">
        <is>
          <t>Pradhan Mantri Kaushal Vikas Yojana 4.0 - Short-Term Training</t>
        </is>
      </c>
      <c r="G357" s="43" t="inlineStr">
        <is>
          <t>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 Grade A (85% and above), Grade B (70% to less than 85%). More than 70% biometric (AEBAS) attendance is required for each candidate to appear in the assessment. The indicative average per-candidate cost is ₹9,540 for a 300-hour STT course (including Skill Hubs) and ₹13,724 for a 450-hour STT course, derived considering a base training cost of ₹27.89 per hour.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The applicant should be an Indian national. The applicant should possess a valid Aadhaar. The applicant should be in the age group of 15 to 45 years. The applicant should fulfil the eligibility criteria of the respective job role, as defined in the course curriculum of the job 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t>
        </is>
      </c>
      <c r="H357" s="49" t="inlineStr">
        <is>
          <t>1</t>
        </is>
      </c>
      <c r="I357" s="49" t="str"/>
      <c r="J357" s="55">
        <f>INT((ROW()-2)/50)+1</f>
        <v/>
      </c>
      <c r="K357" s="55">
        <f>IF(H357="","Pending",IF(OR(H357="0",H357="1",H357="2",H357="U"),"Complete","Invalid"))</f>
        <v/>
      </c>
    </row>
    <row r="358" ht="84" customHeight="1">
      <c r="A358" s="43" t="inlineStr">
        <is>
          <t>v2q-031-candidate-12</t>
        </is>
      </c>
      <c r="B358" s="43" t="inlineStr">
        <is>
          <t>v2q-031</t>
        </is>
      </c>
      <c r="C358" s="43" t="inlineStr">
        <is>
          <t>How do three finance-sector programmes combine basic banking, life insurance, and accident insurance?</t>
        </is>
      </c>
      <c r="D358" s="43" t="inlineStr">
        <is>
          <t>PMJDY provides universal banking and access to financial services; PMJJBY supplies life cover for death from any cause; PMSBY supplies accidental-death and disability cover.</t>
        </is>
      </c>
      <c r="E358" s="43" t="inlineStr">
        <is>
          <t>pilot-v2-doc-pmjjby-0000-47f7bb620cd4</t>
        </is>
      </c>
      <c r="F358" s="43" t="inlineStr">
        <is>
          <t>Pradhan Mantri Jeevan Jyoti Bima Yojana</t>
        </is>
      </c>
      <c r="G358"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358" s="49" t="inlineStr">
        <is>
          <t>2</t>
        </is>
      </c>
      <c r="I358" s="49" t="str"/>
      <c r="J358" s="55">
        <f>INT((ROW()-2)/50)+1</f>
        <v/>
      </c>
      <c r="K358" s="55">
        <f>IF(H358="","Pending",IF(OR(H358="0",H358="1",H358="2",H358="U"),"Complete","Invalid"))</f>
        <v/>
      </c>
    </row>
    <row r="359" ht="84" customHeight="1">
      <c r="A359" s="43" t="inlineStr">
        <is>
          <t>v2q-011-candidate-15</t>
        </is>
      </c>
      <c r="B359" s="43" t="inlineStr">
        <is>
          <t>v2q-011</t>
        </is>
      </c>
      <c r="C359" s="43" t="inlineStr">
        <is>
          <t>What does PM JANMAN stand for, and which communities does it target?</t>
        </is>
      </c>
      <c r="D359" s="43" t="inlineStr">
        <is>
          <t>PM JANMAN stands for PM Janjati Adivasi Nyaya Maha Abhiyan and targets Particularly Vulnerable Tribal Groups.</t>
        </is>
      </c>
      <c r="E359" s="43" t="inlineStr">
        <is>
          <t>pilot-v2-doc-pm-svanidhi-0000-f6024bb09ca5</t>
        </is>
      </c>
      <c r="F359" s="43" t="inlineStr">
        <is>
          <t>PM Street Vendor’s AtmaNirbhar Nidhi (PM SVANidhi)</t>
        </is>
      </c>
      <c r="G359"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359" s="49" t="inlineStr">
        <is>
          <t>0</t>
        </is>
      </c>
      <c r="I359" s="49" t="str"/>
      <c r="J359" s="55">
        <f>INT((ROW()-2)/50)+1</f>
        <v/>
      </c>
      <c r="K359" s="55">
        <f>IF(H359="","Pending",IF(OR(H359="0",H359="1",H359="2",H359="U"),"Complete","Invalid"))</f>
        <v/>
      </c>
    </row>
    <row r="360" ht="84" customHeight="1">
      <c r="A360" s="43" t="inlineStr">
        <is>
          <t>v2q-034-candidate-20</t>
        </is>
      </c>
      <c r="B360" s="43" t="inlineStr">
        <is>
          <t>v2q-034</t>
        </is>
      </c>
      <c r="C360" s="43" t="inlineStr">
        <is>
          <t>How do three programmes meet distinct household needs for rural housing, clean cooking, and food security?</t>
        </is>
      </c>
      <c r="D360" s="43" t="inlineStr">
        <is>
          <t>PMAY-G supports pucca rural housing with basic amenities; PMUY provides LPG access to deprived households replacing traditional cooking fuels; PMGKAY provides free foodgrains to eligible AAY and PHH ration-card holders.</t>
        </is>
      </c>
      <c r="E360" s="43" t="inlineStr">
        <is>
          <t>pilot-v2-doc-pm-gkay-0002-9e804cd883e8</t>
        </is>
      </c>
      <c r="F360" s="43" t="inlineStr">
        <is>
          <t>Pradhan Mantri Garib Kalyan Anna Yojana</t>
        </is>
      </c>
      <c r="G360" s="43" t="inlineStr">
        <is>
          <t>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H360" s="49" t="inlineStr">
        <is>
          <t>2</t>
        </is>
      </c>
      <c r="I360" s="49" t="str"/>
      <c r="J360" s="55">
        <f>INT((ROW()-2)/50)+1</f>
        <v/>
      </c>
      <c r="K360" s="55">
        <f>IF(H360="","Pending",IF(OR(H360="0",H360="1",H360="2",H360="U"),"Complete","Invalid"))</f>
        <v/>
      </c>
    </row>
    <row r="361" ht="84" customHeight="1">
      <c r="A361" s="43" t="inlineStr">
        <is>
          <t>v2q-009-candidate-01</t>
        </is>
      </c>
      <c r="B361" s="43" t="inlineStr">
        <is>
          <t>v2q-009</t>
        </is>
      </c>
      <c r="C361" s="43" t="inlineStr">
        <is>
          <t>What does APY stand for, and what monthly pension range does it guarantee after age 60?</t>
        </is>
      </c>
      <c r="D361" s="43" t="inlineStr">
        <is>
          <t>APY stands for Atal Pension Yojana and offers guaranteed monthly pension options from ₹1,000 to ₹5,000 after age 60.</t>
        </is>
      </c>
      <c r="E361" s="43" t="inlineStr">
        <is>
          <t>pilot-v2-doc-pm-kmy-guidelines-0002-ae644e1f8c00</t>
        </is>
      </c>
      <c r="F361" s="43" t="inlineStr">
        <is>
          <t>Pradhan Mantri Kisan Maan Dhan Yojana Operational Guidelines</t>
        </is>
      </c>
      <c r="G361"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361" s="49" t="inlineStr">
        <is>
          <t>0</t>
        </is>
      </c>
      <c r="I361" s="49" t="str"/>
      <c r="J361" s="55">
        <f>INT((ROW()-2)/50)+1</f>
        <v/>
      </c>
      <c r="K361" s="55">
        <f>IF(H361="","Pending",IF(OR(H361="0",H361="1",H361="2",H361="U"),"Complete","Invalid"))</f>
        <v/>
      </c>
    </row>
    <row r="362" ht="84" customHeight="1">
      <c r="A362" s="43" t="inlineStr">
        <is>
          <t>v2q-023-candidate-22</t>
        </is>
      </c>
      <c r="B362" s="43" t="inlineStr">
        <is>
          <t>v2q-023</t>
        </is>
      </c>
      <c r="C362" s="43" t="inlineStr">
        <is>
          <t>What role does a Gram Panchayat play when a household registers for MGNREGA?</t>
        </is>
      </c>
      <c r="D362" s="43" t="inlineStr">
        <is>
          <t>A household may apply through its local Gram Panchayat, which verifies residence, household identity, and adult membership details.</t>
        </is>
      </c>
      <c r="E362" s="43" t="inlineStr">
        <is>
          <t>pilot-v2-doc-pm-gkay-0000-c29b96f46a80</t>
        </is>
      </c>
      <c r="F362" s="43" t="inlineStr">
        <is>
          <t>Pradhan Mantri Garib Kalyan Anna Yojana</t>
        </is>
      </c>
      <c r="G362"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362" s="49" t="inlineStr">
        <is>
          <t>0</t>
        </is>
      </c>
      <c r="I362" s="49" t="str"/>
      <c r="J362" s="55">
        <f>INT((ROW()-2)/50)+1</f>
        <v/>
      </c>
      <c r="K362" s="55">
        <f>IF(H362="","Pending",IF(OR(H362="0",H362="1",H362="2",H362="U"),"Complete","Invalid"))</f>
        <v/>
      </c>
    </row>
    <row r="363" ht="84" customHeight="1">
      <c r="A363" s="43" t="inlineStr">
        <is>
          <t>v2q-004-candidate-13</t>
        </is>
      </c>
      <c r="B363" s="43" t="inlineStr">
        <is>
          <t>v2q-004</t>
        </is>
      </c>
      <c r="C363" s="43" t="inlineStr">
        <is>
          <t>What is the maximum micro-loan amount stated for PMMY?</t>
        </is>
      </c>
      <c r="D363" s="43" t="inlineStr">
        <is>
          <t>PMMY facilitates micro-credit loans up to ₹20 lakh for eligible income-generating micro-enterprises.</t>
        </is>
      </c>
      <c r="E363" s="43" t="inlineStr">
        <is>
          <t>pilot-v2-doc-pm-gkay-0000-c29b96f46a80</t>
        </is>
      </c>
      <c r="F363" s="43" t="inlineStr">
        <is>
          <t>Pradhan Mantri Garib Kalyan Anna Yojana</t>
        </is>
      </c>
      <c r="G363"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363" s="49" t="inlineStr">
        <is>
          <t>0</t>
        </is>
      </c>
      <c r="I363" s="49" t="str"/>
      <c r="J363" s="55">
        <f>INT((ROW()-2)/50)+1</f>
        <v/>
      </c>
      <c r="K363" s="55">
        <f>IF(H363="","Pending",IF(OR(H363="0",H363="1",H363="2",H363="U"),"Complete","Invalid"))</f>
        <v/>
      </c>
    </row>
    <row r="364" ht="84" customHeight="1">
      <c r="A364" s="43" t="inlineStr">
        <is>
          <t>v2q-022-candidate-12</t>
        </is>
      </c>
      <c r="B364" s="43" t="inlineStr">
        <is>
          <t>v2q-022</t>
        </is>
      </c>
      <c r="C364" s="43" t="inlineStr">
        <is>
          <t>Which finance programme relies on Member Lending Institutions to extend assistance to non-corporate micro-enterprises?</t>
        </is>
      </c>
      <c r="D364" s="43" t="inlineStr">
        <is>
          <t>Eligible Member Lending Institutions extend PMMY financial assistance and provide the scheme’s micro-loans to qualifying micro and small enterprises.</t>
        </is>
      </c>
      <c r="E364" s="43" t="inlineStr">
        <is>
          <t>pilot-v2-doc-pm-kisan-guidelines-0001-5ad8f250b7e2</t>
        </is>
      </c>
      <c r="F364" s="43" t="inlineStr">
        <is>
          <t>PM-KISAN Operational Guidelines</t>
        </is>
      </c>
      <c r="G364"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364" s="49" t="inlineStr">
        <is>
          <t>0</t>
        </is>
      </c>
      <c r="I364" s="49" t="str"/>
      <c r="J364" s="55">
        <f>INT((ROW()-2)/50)+1</f>
        <v/>
      </c>
      <c r="K364" s="55">
        <f>IF(H364="","Pending",IF(OR(H364="0",H364="1",H364="2",H364="U"),"Complete","Invalid"))</f>
        <v/>
      </c>
    </row>
    <row r="365" ht="84" customHeight="1">
      <c r="A365" s="43" t="inlineStr">
        <is>
          <t>v2q-021-candidate-11</t>
        </is>
      </c>
      <c r="B365" s="43" t="inlineStr">
        <is>
          <t>v2q-021</t>
        </is>
      </c>
      <c r="C365" s="43" t="inlineStr">
        <is>
          <t>How do insurance companies and banks participate in PMFBY?</t>
        </is>
      </c>
      <c r="D365" s="43" t="inlineStr">
        <is>
          <t>PMFBY is implemented through a network of insurance companies and banks to provide crop-insurance protection to farmers.</t>
        </is>
      </c>
      <c r="E365" s="43" t="inlineStr">
        <is>
          <t>pilot-v2-doc-pm-kisan-guidelines-0012-a77da98de388</t>
        </is>
      </c>
      <c r="F365" s="43" t="inlineStr">
        <is>
          <t>PM-KISAN Operational Guidelines</t>
        </is>
      </c>
      <c r="G365" s="43" t="inlineStr">
        <is>
          <t>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is>
      </c>
      <c r="H365" s="49" t="inlineStr">
        <is>
          <t>0</t>
        </is>
      </c>
      <c r="I365" s="49" t="str"/>
      <c r="J365" s="55">
        <f>INT((ROW()-2)/50)+1</f>
        <v/>
      </c>
      <c r="K365" s="55">
        <f>IF(H365="","Pending",IF(OR(H365="0",H365="1",H365="2",H365="U"),"Complete","Invalid"))</f>
        <v/>
      </c>
    </row>
    <row r="366" ht="84" customHeight="1">
      <c r="A366" s="43" t="inlineStr">
        <is>
          <t>v2q-018-candidate-12</t>
        </is>
      </c>
      <c r="B366" s="43" t="inlineStr">
        <is>
          <t>v2q-018</t>
        </is>
      </c>
      <c r="C366" s="43" t="inlineStr">
        <is>
          <t>Which initiative helps city households across officially defined lower and middle income bands obtain permanent homes?</t>
        </is>
      </c>
      <c r="D366" s="43" t="inlineStr">
        <is>
          <t>Pradhan Mantri Awas Yojana–Urban addresses urban housing shortages and supports eligible EWS, LIG, and MIG households, including slum dwellers.</t>
        </is>
      </c>
      <c r="E366" s="43" t="inlineStr">
        <is>
          <t>pilot-v2-doc-pmay-g-0001-db2db8af1543</t>
        </is>
      </c>
      <c r="F366" s="43" t="inlineStr">
        <is>
          <t>Pradhan Mantri Awaas Yojana - Gramin</t>
        </is>
      </c>
      <c r="G366"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366" s="49" t="inlineStr">
        <is>
          <t>0</t>
        </is>
      </c>
      <c r="I366" s="49" t="str"/>
      <c r="J366" s="55">
        <f>INT((ROW()-2)/50)+1</f>
        <v/>
      </c>
      <c r="K366" s="55">
        <f>IF(H366="","Pending",IF(OR(H366="0",H366="1",H366="2",H366="U"),"Complete","Invalid"))</f>
        <v/>
      </c>
    </row>
    <row r="367" ht="84" customHeight="1">
      <c r="A367" s="43" t="inlineStr">
        <is>
          <t>v2q-032-candidate-12</t>
        </is>
      </c>
      <c r="B367" s="43" t="inlineStr">
        <is>
          <t>v2q-032</t>
        </is>
      </c>
      <c r="C367" s="43" t="inlineStr">
        <is>
          <t>How do three farmer programmes separately address crop loss, current income needs, and old-age income security?</t>
        </is>
      </c>
      <c r="D367" s="43" t="inlineStr">
        <is>
          <t>PMFBY insures crops against specified losses; PM-KISAN transfers ₹6,000 annually to eligible farmer families; PM-KMY provides eligible small and marginal farmers an assured ₹3,000 monthly pension from age 60.</t>
        </is>
      </c>
      <c r="E367" s="43" t="inlineStr">
        <is>
          <t>pilot-v2-doc-ab-pmjay-0002-58c80bb24a6c</t>
        </is>
      </c>
      <c r="F367" s="43" t="inlineStr">
        <is>
          <t>Ayushman Bharat - Pradhan Mantri Jan Arogya Yojana</t>
        </is>
      </c>
      <c r="G367"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367" s="49" t="inlineStr">
        <is>
          <t>0</t>
        </is>
      </c>
      <c r="I367" s="49" t="str"/>
      <c r="J367" s="55">
        <f>INT((ROW()-2)/50)+1</f>
        <v/>
      </c>
      <c r="K367" s="55">
        <f>IF(H367="","Pending",IF(OR(H367="0",H367="1",H367="2",H367="U"),"Complete","Invalid"))</f>
        <v/>
      </c>
    </row>
    <row r="368" ht="84" customHeight="1">
      <c r="A368" s="43" t="inlineStr">
        <is>
          <t>v2q-022-candidate-06</t>
        </is>
      </c>
      <c r="B368" s="43" t="inlineStr">
        <is>
          <t>v2q-022</t>
        </is>
      </c>
      <c r="C368" s="43" t="inlineStr">
        <is>
          <t>Which finance programme relies on Member Lending Institutions to extend assistance to non-corporate micro-enterprises?</t>
        </is>
      </c>
      <c r="D368" s="43" t="inlineStr">
        <is>
          <t>Eligible Member Lending Institutions extend PMMY financial assistance and provide the scheme’s micro-loans to qualifying micro and small enterprises.</t>
        </is>
      </c>
      <c r="E368" s="43" t="inlineStr">
        <is>
          <t>pilot-v2-doc-pmay-g-0003-2769023a3f73</t>
        </is>
      </c>
      <c r="F368" s="43" t="inlineStr">
        <is>
          <t>Pradhan Mantri Awaas Yojana - Gramin</t>
        </is>
      </c>
      <c r="G368"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368" s="49" t="inlineStr">
        <is>
          <t>0</t>
        </is>
      </c>
      <c r="I368" s="49" t="str"/>
      <c r="J368" s="55">
        <f>INT((ROW()-2)/50)+1</f>
        <v/>
      </c>
      <c r="K368" s="55">
        <f>IF(H368="","Pending",IF(OR(H368="0",H368="1",H368="2",H368="U"),"Complete","Invalid"))</f>
        <v/>
      </c>
    </row>
    <row r="369" ht="84" customHeight="1">
      <c r="A369" s="43" t="inlineStr">
        <is>
          <t>v2q-009-candidate-22</t>
        </is>
      </c>
      <c r="B369" s="43" t="inlineStr">
        <is>
          <t>v2q-009</t>
        </is>
      </c>
      <c r="C369" s="43" t="inlineStr">
        <is>
          <t>What does APY stand for, and what monthly pension range does it guarantee after age 60?</t>
        </is>
      </c>
      <c r="D369" s="43" t="inlineStr">
        <is>
          <t>APY stands for Atal Pension Yojana and offers guaranteed monthly pension options from ₹1,000 to ₹5,000 after age 60.</t>
        </is>
      </c>
      <c r="E369" s="43" t="inlineStr">
        <is>
          <t>pilot-v2-doc-mgnrega-0000-7e6d80b47566</t>
        </is>
      </c>
      <c r="F369" s="43" t="inlineStr">
        <is>
          <t>Mahatma Gandhi National Rural Employment Guarantee Act</t>
        </is>
      </c>
      <c r="G369"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369" s="49" t="inlineStr">
        <is>
          <t>0</t>
        </is>
      </c>
      <c r="I369" s="49" t="str"/>
      <c r="J369" s="55">
        <f>INT((ROW()-2)/50)+1</f>
        <v/>
      </c>
      <c r="K369" s="55">
        <f>IF(H369="","Pending",IF(OR(H369="0",H369="1",H369="2",H369="U"),"Complete","Invalid"))</f>
        <v/>
      </c>
    </row>
    <row r="370" ht="84" customHeight="1">
      <c r="A370" s="43" t="inlineStr">
        <is>
          <t>v2q-006-candidate-05</t>
        </is>
      </c>
      <c r="B370" s="43" t="inlineStr">
        <is>
          <t>v2q-006</t>
        </is>
      </c>
      <c r="C370" s="43" t="inlineStr">
        <is>
          <t>What annual hospitalisation cover does AB-PMJAY provide per eligible family?</t>
        </is>
      </c>
      <c r="D370" s="43" t="inlineStr">
        <is>
          <t>AB-PMJAY provides cashless hospitalisation cover of ₹5 lakh per family per year for secondary and tertiary healthcare.</t>
        </is>
      </c>
      <c r="E370" s="43" t="inlineStr">
        <is>
          <t>pilot-v2-doc-pmkvy-stt-0001-ea2787dec4e8</t>
        </is>
      </c>
      <c r="F370" s="43" t="inlineStr">
        <is>
          <t>Pradhan Mantri Kaushal Vikas Yojana 4.0 - Short-Term Training</t>
        </is>
      </c>
      <c r="G370"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370" s="49" t="inlineStr">
        <is>
          <t>0</t>
        </is>
      </c>
      <c r="I370" s="49" t="str"/>
      <c r="J370" s="55">
        <f>INT((ROW()-2)/50)+1</f>
        <v/>
      </c>
      <c r="K370" s="55">
        <f>IF(H370="","Pending",IF(OR(H370="0",H370="1",H370="2",H370="U"),"Complete","Invalid"))</f>
        <v/>
      </c>
    </row>
    <row r="371" ht="84" customHeight="1">
      <c r="A371" s="43" t="inlineStr">
        <is>
          <t>v2q-024-candidate-02</t>
        </is>
      </c>
      <c r="B371" s="43" t="inlineStr">
        <is>
          <t>v2q-024</t>
        </is>
      </c>
      <c r="C371" s="43" t="inlineStr">
        <is>
          <t>Which national health-assurance programme does NHA implement under the health ministry?</t>
        </is>
      </c>
      <c r="D371" s="43" t="inlineStr">
        <is>
          <t>The National Health Authority implements AB-PMJAY under the Ministry of Health and Family Welfare.</t>
        </is>
      </c>
      <c r="E371" s="43" t="inlineStr">
        <is>
          <t>pilot-v2-doc-pmkvy-sp-0003-738795a9ef96</t>
        </is>
      </c>
      <c r="F371" s="43" t="inlineStr">
        <is>
          <t>Pradhan Mantri Kaushal Vikas Yojana 4.0- Special Projects</t>
        </is>
      </c>
      <c r="G371"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371" s="49" t="inlineStr">
        <is>
          <t>0</t>
        </is>
      </c>
      <c r="I371" s="49" t="str"/>
      <c r="J371" s="55">
        <f>INT((ROW()-2)/50)+1</f>
        <v/>
      </c>
      <c r="K371" s="55">
        <f>IF(H371="","Pending",IF(OR(H371="0",H371="1",H371="2",H371="U"),"Complete","Invalid"))</f>
        <v/>
      </c>
    </row>
    <row r="372" ht="84" customHeight="1">
      <c r="A372" s="43" t="inlineStr">
        <is>
          <t>v2q-027-candidate-12</t>
        </is>
      </c>
      <c r="B372" s="43" t="inlineStr">
        <is>
          <t>v2q-027</t>
        </is>
      </c>
      <c r="C372" s="43" t="inlineStr">
        <is>
          <t>What livelihood mechanism does PM SVANidhi offer street vendors, and which other programme from its ministry addresses housing shortages for eligible urban households?</t>
        </is>
      </c>
      <c r="D372" s="43" t="inlineStr">
        <is>
          <t>PM SVANidhi offers street vendors collateral-free working-capital loans, interest subsidy, and digital-payment incentives. PMAY-U, under the same Ministry of Housing and Urban Affairs, provides housing support for eligible urban households.</t>
        </is>
      </c>
      <c r="E372" s="43" t="inlineStr">
        <is>
          <t>pilot-v2-doc-pm-janman-0000-69ac65d10edc</t>
        </is>
      </c>
      <c r="F372" s="43" t="inlineStr">
        <is>
          <t>PM Janjati Adivasi Nyaya Maha Abhiyan (PM JANMAN)</t>
        </is>
      </c>
      <c r="G372"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372" s="49" t="inlineStr">
        <is>
          <t>0</t>
        </is>
      </c>
      <c r="I372" s="49" t="str"/>
      <c r="J372" s="55">
        <f>INT((ROW()-2)/50)+1</f>
        <v/>
      </c>
      <c r="K372" s="55">
        <f>IF(H372="","Pending",IF(OR(H372="0",H372="1",H372="2",H372="U"),"Complete","Invalid"))</f>
        <v/>
      </c>
    </row>
    <row r="373" ht="84" customHeight="1">
      <c r="A373" s="43" t="inlineStr">
        <is>
          <t>v2q-017-candidate-16</t>
        </is>
      </c>
      <c r="B373" s="43" t="inlineStr">
        <is>
          <t>v2q-017</t>
        </is>
      </c>
      <c r="C373" s="43" t="inlineStr">
        <is>
          <t>Which training route serves people no longer in education or work who need an initial occupational skill?</t>
        </is>
      </c>
      <c r="D373" s="43" t="inlineStr">
        <is>
          <t>PMKVY 4.0 Short-Term Training provides fresh skilling, reskilling, or upskilling for groups including school or college dropouts and unemployed youth.</t>
        </is>
      </c>
      <c r="E373" s="43" t="inlineStr">
        <is>
          <t>pilot-v2-doc-pmkvy-rpl-0004-3a140d40bcee</t>
        </is>
      </c>
      <c r="F373" s="43" t="inlineStr">
        <is>
          <t>Pradhan Mantri Kaushal Vikas Yojana 4.0 - Recognition Of Prior Learning</t>
        </is>
      </c>
      <c r="G373" s="43" t="inlineStr">
        <is>
          <t>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 On passing with at least 70% marks, the applicant is awarded a graded (A/B) Skill Certificate and Marksheet, issued via DigiLocker, an email/phone download link, and the SID profile page.</t>
        </is>
      </c>
      <c r="H373" s="49" t="inlineStr">
        <is>
          <t>1</t>
        </is>
      </c>
      <c r="I373" s="49" t="str"/>
      <c r="J373" s="55">
        <f>INT((ROW()-2)/50)+1</f>
        <v/>
      </c>
      <c r="K373" s="55">
        <f>IF(H373="","Pending",IF(OR(H373="0",H373="1",H373="2",H373="U"),"Complete","Invalid"))</f>
        <v/>
      </c>
    </row>
    <row r="374" ht="84" customHeight="1">
      <c r="A374" s="43" t="inlineStr">
        <is>
          <t>v2q-033-candidate-16</t>
        </is>
      </c>
      <c r="B374" s="43" t="inlineStr">
        <is>
          <t>v2q-033</t>
        </is>
      </c>
      <c r="C374" s="43" t="inlineStr">
        <is>
          <t>How do three programmes support micro-enterprises, new enterprise creation, and street-vendor livelihoods through different financial mechanisms?</t>
        </is>
      </c>
      <c r="D374" s="43" t="inlineStr">
        <is>
          <t>PMMY provides micro-credit to eligible micro-enterprises; PMEGP uses a credit-linked subsidy to establish new micro-enterprises; PM SVANidhi provides street vendors collateral-free working-capital loans, interest subsidy, and digital-payment incentives.</t>
        </is>
      </c>
      <c r="E374" s="43" t="inlineStr">
        <is>
          <t>pilot-v2-doc-pm-svanidhi-0001-e06d259b429d</t>
        </is>
      </c>
      <c r="F374" s="43" t="inlineStr">
        <is>
          <t>PM Street Vendor’s AtmaNirbhar Nidhi (PM SVANidhi)</t>
        </is>
      </c>
      <c r="G374"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374" s="49" t="inlineStr">
        <is>
          <t>2</t>
        </is>
      </c>
      <c r="I374" s="49" t="str"/>
      <c r="J374" s="55">
        <f>INT((ROW()-2)/50)+1</f>
        <v/>
      </c>
      <c r="K374" s="55">
        <f>IF(H374="","Pending",IF(OR(H374="0",H374="1",H374="2",H374="U"),"Complete","Invalid"))</f>
        <v/>
      </c>
    </row>
    <row r="375" ht="84" customHeight="1">
      <c r="A375" s="43" t="inlineStr">
        <is>
          <t>v2q-008-candidate-07</t>
        </is>
      </c>
      <c r="B375" s="43" t="inlineStr">
        <is>
          <t>v2q-008</t>
        </is>
      </c>
      <c r="C375" s="43" t="inlineStr">
        <is>
          <t>Which accident-insurance programme is abbreviated PMSBY, and which outcomes trigger its cover?</t>
        </is>
      </c>
      <c r="D375" s="43" t="inlineStr">
        <is>
          <t>PMSBY stands for Pradhan Mantri Suraksha Bima Yojana and covers accidental death and disability.</t>
        </is>
      </c>
      <c r="E375" s="43" t="inlineStr">
        <is>
          <t>pilot-v2-doc-pmjjby-0000-47f7bb620cd4</t>
        </is>
      </c>
      <c r="F375" s="43" t="inlineStr">
        <is>
          <t>Pradhan Mantri Jeevan Jyoti Bima Yojana</t>
        </is>
      </c>
      <c r="G375"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375" s="49" t="inlineStr">
        <is>
          <t>0</t>
        </is>
      </c>
      <c r="I375" s="49" t="str"/>
      <c r="J375" s="55">
        <f>INT((ROW()-2)/50)+1</f>
        <v/>
      </c>
      <c r="K375" s="55">
        <f>IF(H375="","Pending",IF(OR(H375="0",H375="1",H375="2",H375="U"),"Complete","Invalid"))</f>
        <v/>
      </c>
    </row>
    <row r="376" ht="84" customHeight="1">
      <c r="A376" s="43" t="inlineStr">
        <is>
          <t>v2q-022-candidate-01</t>
        </is>
      </c>
      <c r="B376" s="43" t="inlineStr">
        <is>
          <t>v2q-022</t>
        </is>
      </c>
      <c r="C376" s="43" t="inlineStr">
        <is>
          <t>Which finance programme relies on Member Lending Institutions to extend assistance to non-corporate micro-enterprises?</t>
        </is>
      </c>
      <c r="D376" s="43" t="inlineStr">
        <is>
          <t>Eligible Member Lending Institutions extend PMMY financial assistance and provide the scheme’s micro-loans to qualifying micro and small enterprises.</t>
        </is>
      </c>
      <c r="E376" s="43" t="inlineStr">
        <is>
          <t>pilot-v2-doc-pm-kmy-guidelines-0002-ae644e1f8c00</t>
        </is>
      </c>
      <c r="F376" s="43" t="inlineStr">
        <is>
          <t>Pradhan Mantri Kisan Maan Dhan Yojana Operational Guidelines</t>
        </is>
      </c>
      <c r="G376"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376" s="49" t="inlineStr">
        <is>
          <t>0</t>
        </is>
      </c>
      <c r="I376" s="49" t="str"/>
      <c r="J376" s="55">
        <f>INT((ROW()-2)/50)+1</f>
        <v/>
      </c>
      <c r="K376" s="55">
        <f>IF(H376="","Pending",IF(OR(H376="0",H376="1",H376="2",H376="U"),"Complete","Invalid"))</f>
        <v/>
      </c>
    </row>
    <row r="377" ht="84" customHeight="1">
      <c r="A377" s="43" t="inlineStr">
        <is>
          <t>v2q-032-candidate-01</t>
        </is>
      </c>
      <c r="B377" s="43" t="inlineStr">
        <is>
          <t>v2q-032</t>
        </is>
      </c>
      <c r="C377" s="43" t="inlineStr">
        <is>
          <t>How do three farmer programmes separately address crop loss, current income needs, and old-age income security?</t>
        </is>
      </c>
      <c r="D377" s="43" t="inlineStr">
        <is>
          <t>PMFBY insures crops against specified losses; PM-KISAN transfers ₹6,000 annually to eligible farmer families; PM-KMY provides eligible small and marginal farmers an assured ₹3,000 monthly pension from age 60.</t>
        </is>
      </c>
      <c r="E377" s="43" t="inlineStr">
        <is>
          <t>pilot-v2-doc-pmfby-0000-d9ad07736d66</t>
        </is>
      </c>
      <c r="F377" s="43" t="inlineStr">
        <is>
          <t>Pradhan Mantri Fasal Bima Yojna (PMFBY)</t>
        </is>
      </c>
      <c r="G377"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377" s="49" t="inlineStr">
        <is>
          <t>2</t>
        </is>
      </c>
      <c r="I377" s="49" t="str"/>
      <c r="J377" s="55">
        <f>INT((ROW()-2)/50)+1</f>
        <v/>
      </c>
      <c r="K377" s="55">
        <f>IF(H377="","Pending",IF(OR(H377="0",H377="1",H377="2",H377="U"),"Complete","Invalid"))</f>
        <v/>
      </c>
    </row>
    <row r="378" ht="84" customHeight="1">
      <c r="A378" s="43" t="inlineStr">
        <is>
          <t>v2q-012-candidate-06</t>
        </is>
      </c>
      <c r="B378" s="43" t="inlineStr">
        <is>
          <t>v2q-012</t>
        </is>
      </c>
      <c r="C378" s="43" t="inlineStr">
        <is>
          <t>What does PM SVANidhi stand for, and who is its intended beneficiary group?</t>
        </is>
      </c>
      <c r="D378" s="43" t="inlineStr">
        <is>
          <t>PM SVANidhi stands for PM Street Vendor’s AtmaNirbhar Nidhi and supports street vendors through working-capital and related incentives.</t>
        </is>
      </c>
      <c r="E378" s="43" t="inlineStr">
        <is>
          <t>pilot-v2-doc-pmegp-0003-43256e8e6645</t>
        </is>
      </c>
      <c r="F378" s="43" t="inlineStr">
        <is>
          <t>Prime Minister's Employment Generation Programme</t>
        </is>
      </c>
      <c r="G378"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378" s="49" t="inlineStr">
        <is>
          <t>0</t>
        </is>
      </c>
      <c r="I378" s="49" t="str"/>
      <c r="J378" s="55">
        <f>INT((ROW()-2)/50)+1</f>
        <v/>
      </c>
      <c r="K378" s="55">
        <f>IF(H378="","Pending",IF(OR(H378="0",H378="1",H378="2",H378="U"),"Complete","Invalid"))</f>
        <v/>
      </c>
    </row>
    <row r="379" ht="84" customHeight="1">
      <c r="A379" s="43" t="inlineStr">
        <is>
          <t>v2q-004-candidate-12</t>
        </is>
      </c>
      <c r="B379" s="43" t="inlineStr">
        <is>
          <t>v2q-004</t>
        </is>
      </c>
      <c r="C379" s="43" t="inlineStr">
        <is>
          <t>What is the maximum micro-loan amount stated for PMMY?</t>
        </is>
      </c>
      <c r="D379" s="43" t="inlineStr">
        <is>
          <t>PMMY facilitates micro-credit loans up to ₹20 lakh for eligible income-generating micro-enterprises.</t>
        </is>
      </c>
      <c r="E379" s="43" t="inlineStr">
        <is>
          <t>pilot-v2-doc-apy-0000-c43dd88d7899</t>
        </is>
      </c>
      <c r="F379" s="43" t="inlineStr">
        <is>
          <t>Atal Pension Yojana</t>
        </is>
      </c>
      <c r="G379"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379" s="49" t="inlineStr">
        <is>
          <t>0</t>
        </is>
      </c>
      <c r="I379" s="49" t="str"/>
      <c r="J379" s="55">
        <f>INT((ROW()-2)/50)+1</f>
        <v/>
      </c>
      <c r="K379" s="55">
        <f>IF(H379="","Pending",IF(OR(H379="0",H379="1",H379="2",H379="U"),"Complete","Invalid"))</f>
        <v/>
      </c>
    </row>
    <row r="380" ht="84" customHeight="1">
      <c r="A380" s="43" t="inlineStr">
        <is>
          <t>v2q-006-candidate-03</t>
        </is>
      </c>
      <c r="B380" s="43" t="inlineStr">
        <is>
          <t>v2q-006</t>
        </is>
      </c>
      <c r="C380" s="43" t="inlineStr">
        <is>
          <t>What annual hospitalisation cover does AB-PMJAY provide per eligible family?</t>
        </is>
      </c>
      <c r="D380" s="43" t="inlineStr">
        <is>
          <t>AB-PMJAY provides cashless hospitalisation cover of ₹5 lakh per family per year for secondary and tertiary healthcare.</t>
        </is>
      </c>
      <c r="E380" s="43" t="inlineStr">
        <is>
          <t>pilot-v2-doc-ab-pmjay-0003-1242266bb260</t>
        </is>
      </c>
      <c r="F380" s="43" t="inlineStr">
        <is>
          <t>Ayushman Bharat - Pradhan Mantri Jan Arogya Yojana</t>
        </is>
      </c>
      <c r="G380"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380" s="49" t="inlineStr">
        <is>
          <t>1</t>
        </is>
      </c>
      <c r="I380" s="49" t="str"/>
      <c r="J380" s="55">
        <f>INT((ROW()-2)/50)+1</f>
        <v/>
      </c>
      <c r="K380" s="55">
        <f>IF(H380="","Pending",IF(OR(H380="0",H380="1",H380="2",H380="U"),"Complete","Invalid"))</f>
        <v/>
      </c>
    </row>
    <row r="381" ht="84" customHeight="1">
      <c r="A381" s="43" t="inlineStr">
        <is>
          <t>v2q-032-candidate-06</t>
        </is>
      </c>
      <c r="B381" s="43" t="inlineStr">
        <is>
          <t>v2q-032</t>
        </is>
      </c>
      <c r="C381" s="43" t="inlineStr">
        <is>
          <t>How do three farmer programmes separately address crop loss, current income needs, and old-age income security?</t>
        </is>
      </c>
      <c r="D381" s="43" t="inlineStr">
        <is>
          <t>PMFBY insures crops against specified losses; PM-KISAN transfers ₹6,000 annually to eligible farmer families; PM-KMY provides eligible small and marginal farmers an assured ₹3,000 monthly pension from age 60.</t>
        </is>
      </c>
      <c r="E381" s="43" t="inlineStr">
        <is>
          <t>pilot-v2-doc-pmuy2-0001-065bd619e9c6</t>
        </is>
      </c>
      <c r="F381" s="43" t="inlineStr">
        <is>
          <t>Pradhan Mantri Ujjwala Yojana 2.0</t>
        </is>
      </c>
      <c r="G381" s="43" t="inlineStr">
        <is>
          <t>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is>
      </c>
      <c r="H381" s="49" t="inlineStr">
        <is>
          <t>0</t>
        </is>
      </c>
      <c r="I381" s="49" t="str"/>
      <c r="J381" s="55">
        <f>INT((ROW()-2)/50)+1</f>
        <v/>
      </c>
      <c r="K381" s="55">
        <f>IF(H381="","Pending",IF(OR(H381="0",H381="1",H381="2",H381="U"),"Complete","Invalid"))</f>
        <v/>
      </c>
    </row>
    <row r="382" ht="84" customHeight="1">
      <c r="A382" s="43" t="inlineStr">
        <is>
          <t>v2q-018-candidate-07</t>
        </is>
      </c>
      <c r="B382" s="43" t="inlineStr">
        <is>
          <t>v2q-018</t>
        </is>
      </c>
      <c r="C382" s="43" t="inlineStr">
        <is>
          <t>Which initiative helps city households across officially defined lower and middle income bands obtain permanent homes?</t>
        </is>
      </c>
      <c r="D382" s="43" t="inlineStr">
        <is>
          <t>Pradhan Mantri Awas Yojana–Urban addresses urban housing shortages and supports eligible EWS, LIG, and MIG households, including slum dwellers.</t>
        </is>
      </c>
      <c r="E382" s="43" t="inlineStr">
        <is>
          <t>pilot-v2-doc-pmay-g-0003-2769023a3f73</t>
        </is>
      </c>
      <c r="F382" s="43" t="inlineStr">
        <is>
          <t>Pradhan Mantri Awaas Yojana - Gramin</t>
        </is>
      </c>
      <c r="G382"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382" s="49" t="inlineStr">
        <is>
          <t>0</t>
        </is>
      </c>
      <c r="I382" s="49" t="str"/>
      <c r="J382" s="55">
        <f>INT((ROW()-2)/50)+1</f>
        <v/>
      </c>
      <c r="K382" s="55">
        <f>IF(H382="","Pending",IF(OR(H382="0",H382="1",H382="2",H382="U"),"Complete","Invalid"))</f>
        <v/>
      </c>
    </row>
    <row r="383" ht="84" customHeight="1">
      <c r="A383" s="43" t="inlineStr">
        <is>
          <t>v2q-020-candidate-05</t>
        </is>
      </c>
      <c r="B383" s="43" t="inlineStr">
        <is>
          <t>v2q-020</t>
        </is>
      </c>
      <c r="C383" s="43" t="inlineStr">
        <is>
          <t>How do NSDC and SPIAs divide responsibility in the Special Projects arm of the national skill mission?</t>
        </is>
      </c>
      <c r="D383" s="43" t="inlineStr">
        <is>
          <t>NSDC supports the ministry’s implementation, while Special Projects Implementing Agencies deliver the projects on the ground.</t>
        </is>
      </c>
      <c r="E383" s="43" t="inlineStr">
        <is>
          <t>pilot-v2-doc-pm-kmy-guidelines-0020-27037b9fe8a1</t>
        </is>
      </c>
      <c r="F383" s="43" t="inlineStr">
        <is>
          <t>Pradhan Mantri Kisan Maan Dhan Yojana Operational Guidelines</t>
        </is>
      </c>
      <c r="G383"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383" s="49" t="inlineStr">
        <is>
          <t>0</t>
        </is>
      </c>
      <c r="I383" s="49" t="str"/>
      <c r="J383" s="55">
        <f>INT((ROW()-2)/50)+1</f>
        <v/>
      </c>
      <c r="K383" s="55">
        <f>IF(H383="","Pending",IF(OR(H383="0",H383="1",H383="2",H383="U"),"Complete","Invalid"))</f>
        <v/>
      </c>
    </row>
    <row r="384" ht="84" customHeight="1">
      <c r="A384" s="43" t="inlineStr">
        <is>
          <t>v2q-027-candidate-03</t>
        </is>
      </c>
      <c r="B384" s="43" t="inlineStr">
        <is>
          <t>v2q-027</t>
        </is>
      </c>
      <c r="C384" s="43" t="inlineStr">
        <is>
          <t>What livelihood mechanism does PM SVANidhi offer street vendors, and which other programme from its ministry addresses housing shortages for eligible urban households?</t>
        </is>
      </c>
      <c r="D384" s="43" t="inlineStr">
        <is>
          <t>PM SVANidhi offers street vendors collateral-free working-capital loans, interest subsidy, and digital-payment incentives. PMAY-U, under the same Ministry of Housing and Urban Affairs, provides housing support for eligible urban households.</t>
        </is>
      </c>
      <c r="E384" s="43" t="inlineStr">
        <is>
          <t>pilot-v2-doc-ab-pmjay-0001-a632a7205efc</t>
        </is>
      </c>
      <c r="F384" s="43" t="inlineStr">
        <is>
          <t>Ayushman Bharat - Pradhan Mantri Jan Arogya Yojana</t>
        </is>
      </c>
      <c r="G384"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384" s="49" t="inlineStr">
        <is>
          <t>0</t>
        </is>
      </c>
      <c r="I384" s="49" t="str"/>
      <c r="J384" s="55">
        <f>INT((ROW()-2)/50)+1</f>
        <v/>
      </c>
      <c r="K384" s="55">
        <f>IF(H384="","Pending",IF(OR(H384="0",H384="1",H384="2",H384="U"),"Complete","Invalid"))</f>
        <v/>
      </c>
    </row>
    <row r="385" ht="84" customHeight="1">
      <c r="A385" s="43" t="inlineStr">
        <is>
          <t>v2q-028-candidate-02</t>
        </is>
      </c>
      <c r="B385" s="43" t="inlineStr">
        <is>
          <t>v2q-028</t>
        </is>
      </c>
      <c r="C385" s="43" t="inlineStr">
        <is>
          <t>What does PMKVY Recognition of Prior Learning certify, and which other pathway from its ministry serves candidates seeking fresh short-term skills training?</t>
        </is>
      </c>
      <c r="D385" s="43" t="inlineStr">
        <is>
          <t>PMKVY Recognition of Prior Learning certifies candidates’ existing skills. PMKVY Short-Term Training, under the same Ministry of Skill Development and Entrepreneurship, provides fresh skilling, reskilling, or upskilling.</t>
        </is>
      </c>
      <c r="E385" s="43" t="inlineStr">
        <is>
          <t>pilot-v2-doc-pmkvy-sp-0000-0fc5cf1d7fb0</t>
        </is>
      </c>
      <c r="F385" s="43" t="inlineStr">
        <is>
          <t>Pradhan Mantri Kaushal Vikas Yojana 4.0- Special Projects</t>
        </is>
      </c>
      <c r="G385"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385" s="49" t="inlineStr">
        <is>
          <t>1</t>
        </is>
      </c>
      <c r="I385" s="49" t="str"/>
      <c r="J385" s="55">
        <f>INT((ROW()-2)/50)+1</f>
        <v/>
      </c>
      <c r="K385" s="55">
        <f>IF(H385="","Pending",IF(OR(H385="0",H385="1",H385="2",H385="U"),"Complete","Invalid"))</f>
        <v/>
      </c>
    </row>
    <row r="386" ht="84" customHeight="1">
      <c r="A386" s="43" t="inlineStr">
        <is>
          <t>v2q-020-candidate-14</t>
        </is>
      </c>
      <c r="B386" s="43" t="inlineStr">
        <is>
          <t>v2q-020</t>
        </is>
      </c>
      <c r="C386" s="43" t="inlineStr">
        <is>
          <t>How do NSDC and SPIAs divide responsibility in the Special Projects arm of the national skill mission?</t>
        </is>
      </c>
      <c r="D386" s="43" t="inlineStr">
        <is>
          <t>NSDC supports the ministry’s implementation, while Special Projects Implementing Agencies deliver the projects on the ground.</t>
        </is>
      </c>
      <c r="E386" s="43" t="inlineStr">
        <is>
          <t>pilot-v2-doc-mgnrega-0001-5203a455caa6</t>
        </is>
      </c>
      <c r="F386" s="43" t="inlineStr">
        <is>
          <t>Mahatma Gandhi National Rural Employment Guarantee Act</t>
        </is>
      </c>
      <c r="G386"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386" s="49" t="inlineStr">
        <is>
          <t>0</t>
        </is>
      </c>
      <c r="I386" s="49" t="str"/>
      <c r="J386" s="55">
        <f>INT((ROW()-2)/50)+1</f>
        <v/>
      </c>
      <c r="K386" s="55">
        <f>IF(H386="","Pending",IF(OR(H386="0",H386="1",H386="2",H386="U"),"Complete","Invalid"))</f>
        <v/>
      </c>
    </row>
    <row r="387" ht="84" customHeight="1">
      <c r="A387" s="43" t="inlineStr">
        <is>
          <t>v2q-023-candidate-15</t>
        </is>
      </c>
      <c r="B387" s="43" t="inlineStr">
        <is>
          <t>v2q-023</t>
        </is>
      </c>
      <c r="C387" s="43" t="inlineStr">
        <is>
          <t>What role does a Gram Panchayat play when a household registers for MGNREGA?</t>
        </is>
      </c>
      <c r="D387" s="43" t="inlineStr">
        <is>
          <t>A household may apply through its local Gram Panchayat, which verifies residence, household identity, and adult membership details.</t>
        </is>
      </c>
      <c r="E387" s="43" t="inlineStr">
        <is>
          <t>pilot-v2-doc-mgnrega-0000-7e6d80b47566</t>
        </is>
      </c>
      <c r="F387" s="43" t="inlineStr">
        <is>
          <t>Mahatma Gandhi National Rural Employment Guarantee Act</t>
        </is>
      </c>
      <c r="G387"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387" s="49" t="inlineStr">
        <is>
          <t>2</t>
        </is>
      </c>
      <c r="I387" s="49" t="str"/>
      <c r="J387" s="55">
        <f>INT((ROW()-2)/50)+1</f>
        <v/>
      </c>
      <c r="K387" s="55">
        <f>IF(H387="","Pending",IF(OR(H387="0",H387="1",H387="2",H387="U"),"Complete","Invalid"))</f>
        <v/>
      </c>
    </row>
    <row r="388" ht="84" customHeight="1">
      <c r="A388" s="43" t="inlineStr">
        <is>
          <t>v2q-004-candidate-14</t>
        </is>
      </c>
      <c r="B388" s="43" t="inlineStr">
        <is>
          <t>v2q-004</t>
        </is>
      </c>
      <c r="C388" s="43" t="inlineStr">
        <is>
          <t>What is the maximum micro-loan amount stated for PMMY?</t>
        </is>
      </c>
      <c r="D388" s="43" t="inlineStr">
        <is>
          <t>PMMY facilitates micro-credit loans up to ₹20 lakh for eligible income-generating micro-enterprises.</t>
        </is>
      </c>
      <c r="E388" s="43" t="inlineStr">
        <is>
          <t>pilot-v2-doc-pm-kmy-guidelines-0020-27037b9fe8a1</t>
        </is>
      </c>
      <c r="F388" s="43" t="inlineStr">
        <is>
          <t>Pradhan Mantri Kisan Maan Dhan Yojana Operational Guidelines</t>
        </is>
      </c>
      <c r="G388"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388" s="49" t="inlineStr">
        <is>
          <t>0</t>
        </is>
      </c>
      <c r="I388" s="49" t="str"/>
      <c r="J388" s="55">
        <f>INT((ROW()-2)/50)+1</f>
        <v/>
      </c>
      <c r="K388" s="55">
        <f>IF(H388="","Pending",IF(OR(H388="0",H388="1",H388="2",H388="U"),"Complete","Invalid"))</f>
        <v/>
      </c>
    </row>
    <row r="389" ht="84" customHeight="1">
      <c r="A389" s="43" t="inlineStr">
        <is>
          <t>v2q-001-candidate-01</t>
        </is>
      </c>
      <c r="B389" s="43" t="inlineStr">
        <is>
          <t>v2q-001</t>
        </is>
      </c>
      <c r="C389" s="43" t="inlineStr">
        <is>
          <t>What is the minimum house size specified under PMAY-G?</t>
        </is>
      </c>
      <c r="D389" s="43" t="inlineStr">
        <is>
          <t>The minimum house size is 25 square metres, including a dedicated hygienic cooking area.</t>
        </is>
      </c>
      <c r="E389" s="43" t="inlineStr">
        <is>
          <t>pilot-v2-doc-pmay-g-0004-f8ee90715c3f</t>
        </is>
      </c>
      <c r="F389" s="43" t="inlineStr">
        <is>
          <t>Pradhan Mantri Awaas Yojana - Gramin</t>
        </is>
      </c>
      <c r="G389" s="43" t="inlineStr">
        <is>
          <t>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is>
      </c>
      <c r="H389" s="49" t="inlineStr">
        <is>
          <t>1</t>
        </is>
      </c>
      <c r="I389" s="49" t="str"/>
      <c r="J389" s="55">
        <f>INT((ROW()-2)/50)+1</f>
        <v/>
      </c>
      <c r="K389" s="55">
        <f>IF(H389="","Pending",IF(OR(H389="0",H389="1",H389="2",H389="U"),"Complete","Invalid"))</f>
        <v/>
      </c>
    </row>
    <row r="390" ht="84" customHeight="1">
      <c r="A390" s="43" t="inlineStr">
        <is>
          <t>v2q-004-candidate-18</t>
        </is>
      </c>
      <c r="B390" s="43" t="inlineStr">
        <is>
          <t>v2q-004</t>
        </is>
      </c>
      <c r="C390" s="43" t="inlineStr">
        <is>
          <t>What is the maximum micro-loan amount stated for PMMY?</t>
        </is>
      </c>
      <c r="D390" s="43" t="inlineStr">
        <is>
          <t>PMMY facilitates micro-credit loans up to ₹20 lakh for eligible income-generating micro-enterprises.</t>
        </is>
      </c>
      <c r="E390" s="43" t="inlineStr">
        <is>
          <t>pilot-v2-doc-pmsby-0000-0f297846df39</t>
        </is>
      </c>
      <c r="F390" s="43" t="inlineStr">
        <is>
          <t>Pradhan Mantri Suraksha Bima Yojana</t>
        </is>
      </c>
      <c r="G390"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390" s="49" t="inlineStr">
        <is>
          <t>0</t>
        </is>
      </c>
      <c r="I390" s="49" t="str"/>
      <c r="J390" s="55">
        <f>INT((ROW()-2)/50)+1</f>
        <v/>
      </c>
      <c r="K390" s="55">
        <f>IF(H390="","Pending",IF(OR(H390="0",H390="1",H390="2",H390="U"),"Complete","Invalid"))</f>
        <v/>
      </c>
    </row>
    <row r="391" ht="84" customHeight="1">
      <c r="A391" s="43" t="inlineStr">
        <is>
          <t>v2q-011-candidate-02</t>
        </is>
      </c>
      <c r="B391" s="43" t="inlineStr">
        <is>
          <t>v2q-011</t>
        </is>
      </c>
      <c r="C391" s="43" t="inlineStr">
        <is>
          <t>What does PM JANMAN stand for, and which communities does it target?</t>
        </is>
      </c>
      <c r="D391" s="43" t="inlineStr">
        <is>
          <t>PM JANMAN stands for PM Janjati Adivasi Nyaya Maha Abhiyan and targets Particularly Vulnerable Tribal Groups.</t>
        </is>
      </c>
      <c r="E391" s="43" t="inlineStr">
        <is>
          <t>pilot-v2-doc-pm-kmy-guidelines-0004-79b3bf95bb65</t>
        </is>
      </c>
      <c r="F391" s="43" t="inlineStr">
        <is>
          <t>Pradhan Mantri Kisan Maan Dhan Yojana Operational Guidelines</t>
        </is>
      </c>
      <c r="G391"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391" s="49" t="inlineStr">
        <is>
          <t>0</t>
        </is>
      </c>
      <c r="I391" s="49" t="str"/>
      <c r="J391" s="55">
        <f>INT((ROW()-2)/50)+1</f>
        <v/>
      </c>
      <c r="K391" s="55">
        <f>IF(H391="","Pending",IF(OR(H391="0",H391="1",H391="2",H391="U"),"Complete","Invalid"))</f>
        <v/>
      </c>
    </row>
    <row r="392" ht="84" customHeight="1">
      <c r="A392" s="43" t="inlineStr">
        <is>
          <t>v2q-022-candidate-23</t>
        </is>
      </c>
      <c r="B392" s="43" t="inlineStr">
        <is>
          <t>v2q-022</t>
        </is>
      </c>
      <c r="C392" s="43" t="inlineStr">
        <is>
          <t>Which finance programme relies on Member Lending Institutions to extend assistance to non-corporate micro-enterprises?</t>
        </is>
      </c>
      <c r="D392" s="43" t="inlineStr">
        <is>
          <t>Eligible Member Lending Institutions extend PMMY financial assistance and provide the scheme’s micro-loans to qualifying micro and small enterprises.</t>
        </is>
      </c>
      <c r="E392" s="43" t="inlineStr">
        <is>
          <t>pilot-v2-doc-pmjjby-0000-47f7bb620cd4</t>
        </is>
      </c>
      <c r="F392" s="43" t="inlineStr">
        <is>
          <t>Pradhan Mantri Jeevan Jyoti Bima Yojana</t>
        </is>
      </c>
      <c r="G392"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392" s="49" t="inlineStr">
        <is>
          <t>0</t>
        </is>
      </c>
      <c r="I392" s="49" t="str"/>
      <c r="J392" s="55">
        <f>INT((ROW()-2)/50)+1</f>
        <v/>
      </c>
      <c r="K392" s="55">
        <f>IF(H392="","Pending",IF(OR(H392="0",H392="1",H392="2",H392="U"),"Complete","Invalid"))</f>
        <v/>
      </c>
    </row>
    <row r="393" ht="84" customHeight="1">
      <c r="A393" s="43" t="inlineStr">
        <is>
          <t>v2q-028-candidate-13</t>
        </is>
      </c>
      <c r="B393" s="43" t="inlineStr">
        <is>
          <t>v2q-028</t>
        </is>
      </c>
      <c r="C393" s="43" t="inlineStr">
        <is>
          <t>What does PMKVY Recognition of Prior Learning certify, and which other pathway from its ministry serves candidates seeking fresh short-term skills training?</t>
        </is>
      </c>
      <c r="D393" s="43" t="inlineStr">
        <is>
          <t>PMKVY Recognition of Prior Learning certifies candidates’ existing skills. PMKVY Short-Term Training, under the same Ministry of Skill Development and Entrepreneurship, provides fresh skilling, reskilling, or upskilling.</t>
        </is>
      </c>
      <c r="E393" s="43" t="inlineStr">
        <is>
          <t>pilot-v2-doc-pmkvy-stt-0000-546ef459ea0e</t>
        </is>
      </c>
      <c r="F393" s="43" t="inlineStr">
        <is>
          <t>Pradhan Mantri Kaushal Vikas Yojana 4.0 - Short-Term Training</t>
        </is>
      </c>
      <c r="G393" s="43" t="inlineStr">
        <is>
          <t>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is>
      </c>
      <c r="H393" s="49" t="inlineStr">
        <is>
          <t>2</t>
        </is>
      </c>
      <c r="I393" s="49" t="str"/>
      <c r="J393" s="55">
        <f>INT((ROW()-2)/50)+1</f>
        <v/>
      </c>
      <c r="K393" s="55">
        <f>IF(H393="","Pending",IF(OR(H393="0",H393="1",H393="2",H393="U"),"Complete","Invalid"))</f>
        <v/>
      </c>
    </row>
    <row r="394" ht="84" customHeight="1">
      <c r="A394" s="43" t="inlineStr">
        <is>
          <t>v2q-004-candidate-23</t>
        </is>
      </c>
      <c r="B394" s="43" t="inlineStr">
        <is>
          <t>v2q-004</t>
        </is>
      </c>
      <c r="C394" s="43" t="inlineStr">
        <is>
          <t>What is the maximum micro-loan amount stated for PMMY?</t>
        </is>
      </c>
      <c r="D394" s="43" t="inlineStr">
        <is>
          <t>PMMY facilitates micro-credit loans up to ₹20 lakh for eligible income-generating micro-enterprises.</t>
        </is>
      </c>
      <c r="E394" s="43" t="inlineStr">
        <is>
          <t>pilot-v2-doc-apy-0002-66a5cc4017fb</t>
        </is>
      </c>
      <c r="F394" s="43" t="inlineStr">
        <is>
          <t>Atal Pension Yojana</t>
        </is>
      </c>
      <c r="G394"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394" s="49" t="inlineStr">
        <is>
          <t>0</t>
        </is>
      </c>
      <c r="I394" s="49" t="str"/>
      <c r="J394" s="55">
        <f>INT((ROW()-2)/50)+1</f>
        <v/>
      </c>
      <c r="K394" s="55">
        <f>IF(H394="","Pending",IF(OR(H394="0",H394="1",H394="2",H394="U"),"Complete","Invalid"))</f>
        <v/>
      </c>
    </row>
    <row r="395" ht="84" customHeight="1">
      <c r="A395" s="43" t="inlineStr">
        <is>
          <t>v2q-009-candidate-12</t>
        </is>
      </c>
      <c r="B395" s="43" t="inlineStr">
        <is>
          <t>v2q-009</t>
        </is>
      </c>
      <c r="C395" s="43" t="inlineStr">
        <is>
          <t>What does APY stand for, and what monthly pension range does it guarantee after age 60?</t>
        </is>
      </c>
      <c r="D395" s="43" t="inlineStr">
        <is>
          <t>APY stands for Atal Pension Yojana and offers guaranteed monthly pension options from ₹1,000 to ₹5,000 after age 60.</t>
        </is>
      </c>
      <c r="E395" s="43" t="inlineStr">
        <is>
          <t>pilot-v2-doc-apy-0003-68e7199c9d14</t>
        </is>
      </c>
      <c r="F395" s="43" t="inlineStr">
        <is>
          <t>Atal Pension Yojana</t>
        </is>
      </c>
      <c r="G395"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395" s="49" t="inlineStr">
        <is>
          <t>1</t>
        </is>
      </c>
      <c r="I395" s="49" t="str"/>
      <c r="J395" s="55">
        <f>INT((ROW()-2)/50)+1</f>
        <v/>
      </c>
      <c r="K395" s="55">
        <f>IF(H395="","Pending",IF(OR(H395="0",H395="1",H395="2",H395="U"),"Complete","Invalid"))</f>
        <v/>
      </c>
    </row>
    <row r="396" ht="84" customHeight="1">
      <c r="A396" s="43" t="inlineStr">
        <is>
          <t>v2q-029-candidate-06</t>
        </is>
      </c>
      <c r="B396" s="43" t="inlineStr">
        <is>
          <t>v2q-029</t>
        </is>
      </c>
      <c r="C396" s="43" t="inlineStr">
        <is>
          <t>What migrant-focused facility distinguishes Ujjwala 2.0, and what clean-cooking transition was established by its predecessor programme?</t>
        </is>
      </c>
      <c r="D396" s="43" t="inlineStr">
        <is>
          <t>Ujjwala 2.0 added 1.6 crore LPG connections with a special facility for migrant households. Its predecessor, Pradhan Mantri Ujjwala Yojana, sought to replace traditional cooking fuels with LPG access for rural and deprived households.</t>
        </is>
      </c>
      <c r="E396" s="43" t="inlineStr">
        <is>
          <t>pilot-v2-doc-pmuy-0000-ad06c0c09d46</t>
        </is>
      </c>
      <c r="F396" s="43" t="inlineStr">
        <is>
          <t>Pradhan Mantri Ujjwala Yojana</t>
        </is>
      </c>
      <c r="G396"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396" s="49" t="inlineStr">
        <is>
          <t>2</t>
        </is>
      </c>
      <c r="I396" s="49" t="str"/>
      <c r="J396" s="55">
        <f>INT((ROW()-2)/50)+1</f>
        <v/>
      </c>
      <c r="K396" s="55">
        <f>IF(H396="","Pending",IF(OR(H396="0",H396="1",H396="2",H396="U"),"Complete","Invalid"))</f>
        <v/>
      </c>
    </row>
    <row r="397" ht="84" customHeight="1">
      <c r="A397" s="43" t="inlineStr">
        <is>
          <t>v2q-024-candidate-01</t>
        </is>
      </c>
      <c r="B397" s="43" t="inlineStr">
        <is>
          <t>v2q-024</t>
        </is>
      </c>
      <c r="C397" s="43" t="inlineStr">
        <is>
          <t>Which national health-assurance programme does NHA implement under the health ministry?</t>
        </is>
      </c>
      <c r="D397" s="43" t="inlineStr">
        <is>
          <t>The National Health Authority implements AB-PMJAY under the Ministry of Health and Family Welfare.</t>
        </is>
      </c>
      <c r="E397" s="43" t="inlineStr">
        <is>
          <t>pilot-v2-doc-ab-pmjay-0000-94c82a474579</t>
        </is>
      </c>
      <c r="F397" s="43" t="inlineStr">
        <is>
          <t>Ayushman Bharat - Pradhan Mantri Jan Arogya Yojana</t>
        </is>
      </c>
      <c r="G397"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397" s="49" t="inlineStr">
        <is>
          <t>2</t>
        </is>
      </c>
      <c r="I397" s="49" t="str"/>
      <c r="J397" s="55">
        <f>INT((ROW()-2)/50)+1</f>
        <v/>
      </c>
      <c r="K397" s="55">
        <f>IF(H397="","Pending",IF(OR(H397="0",H397="1",H397="2",H397="U"),"Complete","Invalid"))</f>
        <v/>
      </c>
    </row>
    <row r="398" ht="84" customHeight="1">
      <c r="A398" s="43" t="inlineStr">
        <is>
          <t>v2q-002-candidate-05</t>
        </is>
      </c>
      <c r="B398" s="43" t="inlineStr">
        <is>
          <t>v2q-002</t>
        </is>
      </c>
      <c r="C398" s="43" t="inlineStr">
        <is>
          <t>What maximum premium rates can farmers pay under PMFBY for Kharif, Rabi, and annual commercial or horticultural crops?</t>
        </is>
      </c>
      <c r="D398" s="43" t="inlineStr">
        <is>
          <t>Farmers pay at most 2% for Kharif food and oilseed crops, 1.5% for Rabi food and oilseed crops, and 5% for annual commercial or horticultural crops.</t>
        </is>
      </c>
      <c r="E398" s="43" t="inlineStr">
        <is>
          <t>pilot-v2-doc-pm-kmy-guidelines-0006-2652020c834e</t>
        </is>
      </c>
      <c r="F398" s="43" t="inlineStr">
        <is>
          <t>Pradhan Mantri Kisan Maan Dhan Yojana Operational Guidelines</t>
        </is>
      </c>
      <c r="G398" s="43" t="inlineStr">
        <is>
          <t>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is>
      </c>
      <c r="H398" s="49" t="inlineStr">
        <is>
          <t>0</t>
        </is>
      </c>
      <c r="I398" s="49" t="str"/>
      <c r="J398" s="55">
        <f>INT((ROW()-2)/50)+1</f>
        <v/>
      </c>
      <c r="K398" s="55">
        <f>IF(H398="","Pending",IF(OR(H398="0",H398="1",H398="2",H398="U"),"Complete","Invalid"))</f>
        <v/>
      </c>
    </row>
    <row r="399" ht="84" customHeight="1">
      <c r="A399" s="43" t="inlineStr">
        <is>
          <t>v2q-013-candidate-12</t>
        </is>
      </c>
      <c r="B399" s="43" t="inlineStr">
        <is>
          <t>v2q-013</t>
        </is>
      </c>
      <c r="C399" s="43" t="inlineStr">
        <is>
          <t>Which initiative helps women in low-income countryside homes replace smoke-producing solid cooking materials with bottled gas?</t>
        </is>
      </c>
      <c r="D399" s="43" t="inlineStr">
        <is>
          <t>Pradhan Mantri Ujjwala Yojana provides LPG access to rural and deprived households that previously relied on traditional cooking fuels.</t>
        </is>
      </c>
      <c r="E399" s="43" t="inlineStr">
        <is>
          <t>pilot-v2-doc-pmay-g-0000-d4162175877d</t>
        </is>
      </c>
      <c r="F399" s="43" t="inlineStr">
        <is>
          <t>Pradhan Mantri Awaas Yojana - Gramin</t>
        </is>
      </c>
      <c r="G399"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399" s="49" t="inlineStr">
        <is>
          <t>1</t>
        </is>
      </c>
      <c r="I399" s="49" t="str"/>
      <c r="J399" s="55">
        <f>INT((ROW()-2)/50)+1</f>
        <v/>
      </c>
      <c r="K399" s="55">
        <f>IF(H399="","Pending",IF(OR(H399="0",H399="1",H399="2",H399="U"),"Complete","Invalid"))</f>
        <v/>
      </c>
    </row>
    <row r="400" ht="84" customHeight="1">
      <c r="A400" s="43" t="inlineStr">
        <is>
          <t>v2q-023-candidate-23</t>
        </is>
      </c>
      <c r="B400" s="43" t="inlineStr">
        <is>
          <t>v2q-023</t>
        </is>
      </c>
      <c r="C400" s="43" t="inlineStr">
        <is>
          <t>What role does a Gram Panchayat play when a household registers for MGNREGA?</t>
        </is>
      </c>
      <c r="D400" s="43" t="inlineStr">
        <is>
          <t>A household may apply through its local Gram Panchayat, which verifies residence, household identity, and adult membership details.</t>
        </is>
      </c>
      <c r="E400" s="43" t="inlineStr">
        <is>
          <t>pilot-v2-doc-pm-gkay-0002-9e804cd883e8</t>
        </is>
      </c>
      <c r="F400" s="43" t="inlineStr">
        <is>
          <t>Pradhan Mantri Garib Kalyan Anna Yojana</t>
        </is>
      </c>
      <c r="G400" s="43" t="inlineStr">
        <is>
          <t>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H400" s="49" t="inlineStr">
        <is>
          <t>0</t>
        </is>
      </c>
      <c r="I400" s="49" t="str"/>
      <c r="J400" s="55">
        <f>INT((ROW()-2)/50)+1</f>
        <v/>
      </c>
      <c r="K400" s="55">
        <f>IF(H400="","Pending",IF(OR(H400="0",H400="1",H400="2",H400="U"),"Complete","Invalid"))</f>
        <v/>
      </c>
    </row>
    <row r="401" ht="84" customHeight="1">
      <c r="A401" s="43" t="inlineStr">
        <is>
          <t>v2q-019-candidate-04</t>
        </is>
      </c>
      <c r="B401" s="43" t="inlineStr">
        <is>
          <t>v2q-019</t>
        </is>
      </c>
      <c r="C401" s="43" t="inlineStr">
        <is>
          <t>What role does the Ministry of Petroleum and Natural Gas have in Ujjwala 2.0?</t>
        </is>
      </c>
      <c r="D401" s="43" t="inlineStr">
        <is>
          <t>The ministry introduced Ujjwala 2.0 to provide LPG connections and promote clean cooking fuel among poor, rural, and deprived households.</t>
        </is>
      </c>
      <c r="E401" s="43" t="inlineStr">
        <is>
          <t>pilot-v2-doc-pmay-g-0000-d4162175877d</t>
        </is>
      </c>
      <c r="F401" s="43" t="inlineStr">
        <is>
          <t>Pradhan Mantri Awaas Yojana - Gramin</t>
        </is>
      </c>
      <c r="G401"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401" s="49" t="inlineStr">
        <is>
          <t>0</t>
        </is>
      </c>
      <c r="I401" s="49" t="str"/>
      <c r="J401" s="55">
        <f>INT((ROW()-2)/50)+1</f>
        <v/>
      </c>
      <c r="K401" s="55">
        <f>IF(H401="","Pending",IF(OR(H401="0",H401="1",H401="2",H401="U"),"Complete","Invalid"))</f>
        <v/>
      </c>
    </row>
    <row r="402" ht="84" customHeight="1">
      <c r="A402" s="43" t="inlineStr">
        <is>
          <t>v2q-012-candidate-22</t>
        </is>
      </c>
      <c r="B402" s="43" t="inlineStr">
        <is>
          <t>v2q-012</t>
        </is>
      </c>
      <c r="C402" s="43" t="inlineStr">
        <is>
          <t>What does PM SVANidhi stand for, and who is its intended beneficiary group?</t>
        </is>
      </c>
      <c r="D402" s="43" t="inlineStr">
        <is>
          <t>PM SVANidhi stands for PM Street Vendor’s AtmaNirbhar Nidhi and supports street vendors through working-capital and related incentives.</t>
        </is>
      </c>
      <c r="E402" s="43" t="inlineStr">
        <is>
          <t>pilot-v2-doc-pm-janman-0001-0deee4377b38</t>
        </is>
      </c>
      <c r="F402" s="43" t="inlineStr">
        <is>
          <t>PM Janjati Adivasi Nyaya Maha Abhiyan (PM JANMAN)</t>
        </is>
      </c>
      <c r="G402" s="43" t="inlineStr">
        <is>
          <t>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is>
      </c>
      <c r="H402" s="49" t="inlineStr">
        <is>
          <t>0</t>
        </is>
      </c>
      <c r="I402" s="49" t="str"/>
      <c r="J402" s="55">
        <f>INT((ROW()-2)/50)+1</f>
        <v/>
      </c>
      <c r="K402" s="55">
        <f>IF(H402="","Pending",IF(OR(H402="0",H402="1",H402="2",H402="U"),"Complete","Invalid"))</f>
        <v/>
      </c>
    </row>
    <row r="403" ht="84" customHeight="1">
      <c r="A403" s="43" t="inlineStr">
        <is>
          <t>v2q-028-candidate-15</t>
        </is>
      </c>
      <c r="B403" s="43" t="inlineStr">
        <is>
          <t>v2q-028</t>
        </is>
      </c>
      <c r="C403" s="43" t="inlineStr">
        <is>
          <t>What does PMKVY Recognition of Prior Learning certify, and which other pathway from its ministry serves candidates seeking fresh short-term skills training?</t>
        </is>
      </c>
      <c r="D403" s="43" t="inlineStr">
        <is>
          <t>PMKVY Recognition of Prior Learning certifies candidates’ existing skills. PMKVY Short-Term Training, under the same Ministry of Skill Development and Entrepreneurship, provides fresh skilling, reskilling, or upskilling.</t>
        </is>
      </c>
      <c r="E403" s="43" t="inlineStr">
        <is>
          <t>pilot-v2-doc-pmkvy-rpl-0004-3a140d40bcee</t>
        </is>
      </c>
      <c r="F403" s="43" t="inlineStr">
        <is>
          <t>Pradhan Mantri Kaushal Vikas Yojana 4.0 - Recognition Of Prior Learning</t>
        </is>
      </c>
      <c r="G403" s="43" t="inlineStr">
        <is>
          <t>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 On passing with at least 70% marks, the applicant is awarded a graded (A/B) Skill Certificate and Marksheet, issued via DigiLocker, an email/phone download link, and the SID profile page.</t>
        </is>
      </c>
      <c r="H403" s="49" t="inlineStr">
        <is>
          <t>2</t>
        </is>
      </c>
      <c r="I403" s="49" t="str"/>
      <c r="J403" s="55">
        <f>INT((ROW()-2)/50)+1</f>
        <v/>
      </c>
      <c r="K403" s="55">
        <f>IF(H403="","Pending",IF(OR(H403="0",H403="1",H403="2",H403="U"),"Complete","Invalid"))</f>
        <v/>
      </c>
    </row>
    <row r="404" ht="84" customHeight="1">
      <c r="A404" s="43" t="inlineStr">
        <is>
          <t>v2q-016-candidate-14</t>
        </is>
      </c>
      <c r="B404" s="43" t="inlineStr">
        <is>
          <t>v2q-016</t>
        </is>
      </c>
      <c r="C404" s="43" t="inlineStr">
        <is>
          <t>How can an experienced worker obtain formal recognition for skills learned outside a training course?</t>
        </is>
      </c>
      <c r="D404" s="43" t="inlineStr">
        <is>
          <t>PMKVY 4.0 Recognition of Prior Learning assesses, upskills, and certifies candidates who already possess relevant skills or prior-learning experience.</t>
        </is>
      </c>
      <c r="E404" s="43" t="inlineStr">
        <is>
          <t>pilot-v2-doc-pmkvy-rpl-0000-c98f315c1481</t>
        </is>
      </c>
      <c r="F404" s="43" t="inlineStr">
        <is>
          <t>Pradhan Mantri Kaushal Vikas Yojana 4.0 - Recognition Of Prior Learning</t>
        </is>
      </c>
      <c r="G404" s="43" t="inlineStr">
        <is>
          <t>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is>
      </c>
      <c r="H404" s="49" t="inlineStr">
        <is>
          <t>2</t>
        </is>
      </c>
      <c r="I404" s="49" t="str"/>
      <c r="J404" s="55">
        <f>INT((ROW()-2)/50)+1</f>
        <v/>
      </c>
      <c r="K404" s="55">
        <f>IF(H404="","Pending",IF(OR(H404="0",H404="1",H404="2",H404="U"),"Complete","Invalid"))</f>
        <v/>
      </c>
    </row>
    <row r="405" ht="84" customHeight="1">
      <c r="A405" s="43" t="inlineStr">
        <is>
          <t>v2q-012-candidate-03</t>
        </is>
      </c>
      <c r="B405" s="43" t="inlineStr">
        <is>
          <t>v2q-012</t>
        </is>
      </c>
      <c r="C405" s="43" t="inlineStr">
        <is>
          <t>What does PM SVANidhi stand for, and who is its intended beneficiary group?</t>
        </is>
      </c>
      <c r="D405" s="43" t="inlineStr">
        <is>
          <t>PM SVANidhi stands for PM Street Vendor’s AtmaNirbhar Nidhi and supports street vendors through working-capital and related incentives.</t>
        </is>
      </c>
      <c r="E405" s="43" t="inlineStr">
        <is>
          <t>pilot-v2-doc-pm-kisan-guidelines-0005-7d487843ff7f</t>
        </is>
      </c>
      <c r="F405" s="43" t="inlineStr">
        <is>
          <t>PM-KISAN Operational Guidelines</t>
        </is>
      </c>
      <c r="G405" s="43" t="inlineStr">
        <is>
          <t>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is>
      </c>
      <c r="H405" s="49" t="inlineStr">
        <is>
          <t>0</t>
        </is>
      </c>
      <c r="I405" s="49" t="str"/>
      <c r="J405" s="55">
        <f>INT((ROW()-2)/50)+1</f>
        <v/>
      </c>
      <c r="K405" s="55">
        <f>IF(H405="","Pending",IF(OR(H405="0",H405="1",H405="2",H405="U"),"Complete","Invalid"))</f>
        <v/>
      </c>
    </row>
    <row r="406" ht="84" customHeight="1">
      <c r="A406" s="43" t="inlineStr">
        <is>
          <t>v2q-012-candidate-16</t>
        </is>
      </c>
      <c r="B406" s="43" t="inlineStr">
        <is>
          <t>v2q-012</t>
        </is>
      </c>
      <c r="C406" s="43" t="inlineStr">
        <is>
          <t>What does PM SVANidhi stand for, and who is its intended beneficiary group?</t>
        </is>
      </c>
      <c r="D406" s="43" t="inlineStr">
        <is>
          <t>PM SVANidhi stands for PM Street Vendor’s AtmaNirbhar Nidhi and supports street vendors through working-capital and related incentives.</t>
        </is>
      </c>
      <c r="E406" s="43" t="inlineStr">
        <is>
          <t>pilot-v2-doc-pm-svanidhi-0001-e06d259b429d</t>
        </is>
      </c>
      <c r="F406" s="43" t="inlineStr">
        <is>
          <t>PM Street Vendor’s AtmaNirbhar Nidhi (PM SVANidhi)</t>
        </is>
      </c>
      <c r="G406"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406" s="49" t="inlineStr">
        <is>
          <t>2</t>
        </is>
      </c>
      <c r="I406" s="49" t="str"/>
      <c r="J406" s="55">
        <f>INT((ROW()-2)/50)+1</f>
        <v/>
      </c>
      <c r="K406" s="55">
        <f>IF(H406="","Pending",IF(OR(H406="0",H406="1",H406="2",H406="U"),"Complete","Invalid"))</f>
        <v/>
      </c>
    </row>
    <row r="407" ht="84" customHeight="1">
      <c r="A407" s="43" t="inlineStr">
        <is>
          <t>v2q-027-candidate-10</t>
        </is>
      </c>
      <c r="B407" s="43" t="inlineStr">
        <is>
          <t>v2q-027</t>
        </is>
      </c>
      <c r="C407" s="43" t="inlineStr">
        <is>
          <t>What livelihood mechanism does PM SVANidhi offer street vendors, and which other programme from its ministry addresses housing shortages for eligible urban households?</t>
        </is>
      </c>
      <c r="D407" s="43" t="inlineStr">
        <is>
          <t>PM SVANidhi offers street vendors collateral-free working-capital loans, interest subsidy, and digital-payment incentives. PMAY-U, under the same Ministry of Housing and Urban Affairs, provides housing support for eligible urban households.</t>
        </is>
      </c>
      <c r="E407" s="43" t="inlineStr">
        <is>
          <t>pilot-v2-doc-pm-svanidhi-0002-280acc14217b</t>
        </is>
      </c>
      <c r="F407" s="43" t="inlineStr">
        <is>
          <t>PM Street Vendor’s AtmaNirbhar Nidhi (PM SVANidhi)</t>
        </is>
      </c>
      <c r="G407" s="43" t="inlineStr">
        <is>
          <t>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is>
      </c>
      <c r="H407" s="49" t="inlineStr">
        <is>
          <t>1</t>
        </is>
      </c>
      <c r="I407" s="49" t="str"/>
      <c r="J407" s="55">
        <f>INT((ROW()-2)/50)+1</f>
        <v/>
      </c>
      <c r="K407" s="55">
        <f>IF(H407="","Pending",IF(OR(H407="0",H407="1",H407="2",H407="U"),"Complete","Invalid"))</f>
        <v/>
      </c>
    </row>
    <row r="408" ht="84" customHeight="1">
      <c r="A408" s="43" t="inlineStr">
        <is>
          <t>v2q-003-candidate-21</t>
        </is>
      </c>
      <c r="B408" s="43" t="inlineStr">
        <is>
          <t>v2q-003</t>
        </is>
      </c>
      <c r="C408" s="43" t="inlineStr">
        <is>
          <t>What revised overdraft limit and RuPay accidental-insurance cover are stated for PMJDY?</t>
        </is>
      </c>
      <c r="D408" s="43" t="inlineStr">
        <is>
          <t>PMJDY states a revised overdraft limit of ₹10,000 and accidental-insurance cover of ₹2 lakh for RuPay cardholders.</t>
        </is>
      </c>
      <c r="E408" s="43" t="inlineStr">
        <is>
          <t>pilot-v2-doc-ab-pmjay-0003-1242266bb260</t>
        </is>
      </c>
      <c r="F408" s="43" t="inlineStr">
        <is>
          <t>Ayushman Bharat - Pradhan Mantri Jan Arogya Yojana</t>
        </is>
      </c>
      <c r="G408"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408" s="49" t="inlineStr">
        <is>
          <t>0</t>
        </is>
      </c>
      <c r="I408" s="49" t="str"/>
      <c r="J408" s="55">
        <f>INT((ROW()-2)/50)+1</f>
        <v/>
      </c>
      <c r="K408" s="55">
        <f>IF(H408="","Pending",IF(OR(H408="0",H408="1",H408="2",H408="U"),"Complete","Invalid"))</f>
        <v/>
      </c>
    </row>
    <row r="409" ht="84" customHeight="1">
      <c r="A409" s="43" t="inlineStr">
        <is>
          <t>v2q-027-candidate-17</t>
        </is>
      </c>
      <c r="B409" s="43" t="inlineStr">
        <is>
          <t>v2q-027</t>
        </is>
      </c>
      <c r="C409" s="43" t="inlineStr">
        <is>
          <t>What livelihood mechanism does PM SVANidhi offer street vendors, and which other programme from its ministry addresses housing shortages for eligible urban households?</t>
        </is>
      </c>
      <c r="D409" s="43" t="inlineStr">
        <is>
          <t>PM SVANidhi offers street vendors collateral-free working-capital loans, interest subsidy, and digital-payment incentives. PMAY-U, under the same Ministry of Housing and Urban Affairs, provides housing support for eligible urban households.</t>
        </is>
      </c>
      <c r="E409" s="43" t="inlineStr">
        <is>
          <t>pilot-v2-doc-ab-pmjay-0002-58c80bb24a6c</t>
        </is>
      </c>
      <c r="F409" s="43" t="inlineStr">
        <is>
          <t>Ayushman Bharat - Pradhan Mantri Jan Arogya Yojana</t>
        </is>
      </c>
      <c r="G409"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409" s="49" t="inlineStr">
        <is>
          <t>0</t>
        </is>
      </c>
      <c r="I409" s="49" t="str"/>
      <c r="J409" s="55">
        <f>INT((ROW()-2)/50)+1</f>
        <v/>
      </c>
      <c r="K409" s="55">
        <f>IF(H409="","Pending",IF(OR(H409="0",H409="1",H409="2",H409="U"),"Complete","Invalid"))</f>
        <v/>
      </c>
    </row>
    <row r="410" ht="84" customHeight="1">
      <c r="A410" s="43" t="inlineStr">
        <is>
          <t>v2q-009-candidate-18</t>
        </is>
      </c>
      <c r="B410" s="43" t="inlineStr">
        <is>
          <t>v2q-009</t>
        </is>
      </c>
      <c r="C410" s="43" t="inlineStr">
        <is>
          <t>What does APY stand for, and what monthly pension range does it guarantee after age 60?</t>
        </is>
      </c>
      <c r="D410" s="43" t="inlineStr">
        <is>
          <t>APY stands for Atal Pension Yojana and offers guaranteed monthly pension options from ₹1,000 to ₹5,000 after age 60.</t>
        </is>
      </c>
      <c r="E410" s="43" t="inlineStr">
        <is>
          <t>pilot-v2-doc-pmjjby-0000-47f7bb620cd4</t>
        </is>
      </c>
      <c r="F410" s="43" t="inlineStr">
        <is>
          <t>Pradhan Mantri Jeevan Jyoti Bima Yojana</t>
        </is>
      </c>
      <c r="G410"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410" s="49" t="inlineStr">
        <is>
          <t>0</t>
        </is>
      </c>
      <c r="I410" s="49" t="str"/>
      <c r="J410" s="55">
        <f>INT((ROW()-2)/50)+1</f>
        <v/>
      </c>
      <c r="K410" s="55">
        <f>IF(H410="","Pending",IF(OR(H410="0",H410="1",H410="2",H410="U"),"Complete","Invalid"))</f>
        <v/>
      </c>
    </row>
    <row r="411" ht="84" customHeight="1">
      <c r="A411" s="43" t="inlineStr">
        <is>
          <t>v2q-025-candidate-21</t>
        </is>
      </c>
      <c r="B411" s="43" t="inlineStr">
        <is>
          <t>v2q-025</t>
        </is>
      </c>
      <c r="C411" s="43" t="inlineStr">
        <is>
          <t>What banking function does PMJDY provide, and which other programme from its ministry finances income-generating micro-enterprises?</t>
        </is>
      </c>
      <c r="D411" s="43" t="inlineStr">
        <is>
          <t>PMJDY provides universal banking services for unbanked households. PMMY, under the same Ministry of Finance, provides micro-credit for income-generating micro-enterprises.</t>
        </is>
      </c>
      <c r="E411" s="43" t="inlineStr">
        <is>
          <t>pilot-v2-doc-ab-pmjay-0001-a632a7205efc</t>
        </is>
      </c>
      <c r="F411" s="43" t="inlineStr">
        <is>
          <t>Ayushman Bharat - Pradhan Mantri Jan Arogya Yojana</t>
        </is>
      </c>
      <c r="G411"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411" s="49" t="inlineStr">
        <is>
          <t>0</t>
        </is>
      </c>
      <c r="I411" s="49" t="str"/>
      <c r="J411" s="55">
        <f>INT((ROW()-2)/50)+1</f>
        <v/>
      </c>
      <c r="K411" s="55">
        <f>IF(H411="","Pending",IF(OR(H411="0",H411="1",H411="2",H411="U"),"Complete","Invalid"))</f>
        <v/>
      </c>
    </row>
    <row r="412" ht="84" customHeight="1">
      <c r="A412" s="43" t="inlineStr">
        <is>
          <t>v2q-030-candidate-04</t>
        </is>
      </c>
      <c r="B412" s="43" t="inlineStr">
        <is>
          <t>v2q-030</t>
        </is>
      </c>
      <c r="C412" s="43" t="inlineStr">
        <is>
          <t>What retirement benefit does APY offer, and which life-insurance programme administered through the same department covers death from any cause?</t>
        </is>
      </c>
      <c r="D412" s="43" t="inlineStr">
        <is>
          <t>APY offers guaranteed monthly pension options after age 60. PMJJBY, associated with the same Department of Financial Services, provides life cover for death due to any reason.</t>
        </is>
      </c>
      <c r="E412" s="43" t="inlineStr">
        <is>
          <t>pilot-v2-doc-pmjjby-0000-47f7bb620cd4</t>
        </is>
      </c>
      <c r="F412" s="43" t="inlineStr">
        <is>
          <t>Pradhan Mantri Jeevan Jyoti Bima Yojana</t>
        </is>
      </c>
      <c r="G412"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412" s="49" t="inlineStr">
        <is>
          <t>2</t>
        </is>
      </c>
      <c r="I412" s="49" t="str"/>
      <c r="J412" s="55">
        <f>INT((ROW()-2)/50)+1</f>
        <v/>
      </c>
      <c r="K412" s="55">
        <f>IF(H412="","Pending",IF(OR(H412="0",H412="1",H412="2",H412="U"),"Complete","Invalid"))</f>
        <v/>
      </c>
    </row>
    <row r="413" ht="84" customHeight="1">
      <c r="A413" s="43" t="inlineStr">
        <is>
          <t>v2q-019-candidate-20</t>
        </is>
      </c>
      <c r="B413" s="43" t="inlineStr">
        <is>
          <t>v2q-019</t>
        </is>
      </c>
      <c r="C413" s="43" t="inlineStr">
        <is>
          <t>What role does the Ministry of Petroleum and Natural Gas have in Ujjwala 2.0?</t>
        </is>
      </c>
      <c r="D413" s="43" t="inlineStr">
        <is>
          <t>The ministry introduced Ujjwala 2.0 to provide LPG connections and promote clean cooking fuel among poor, rural, and deprived households.</t>
        </is>
      </c>
      <c r="E413" s="43" t="inlineStr">
        <is>
          <t>pilot-v2-doc-pmay-u-0001-b64fadc4bf6b</t>
        </is>
      </c>
      <c r="F413" s="43" t="inlineStr">
        <is>
          <t>Pradhan Mantri Awas Yojana - Urban</t>
        </is>
      </c>
      <c r="G413"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413" s="49" t="inlineStr">
        <is>
          <t>0</t>
        </is>
      </c>
      <c r="I413" s="49" t="str"/>
      <c r="J413" s="55">
        <f>INT((ROW()-2)/50)+1</f>
        <v/>
      </c>
      <c r="K413" s="55">
        <f>IF(H413="","Pending",IF(OR(H413="0",H413="1",H413="2",H413="U"),"Complete","Invalid"))</f>
        <v/>
      </c>
    </row>
    <row r="414" ht="84" customHeight="1">
      <c r="A414" s="43" t="inlineStr">
        <is>
          <t>v2q-007-candidate-06</t>
        </is>
      </c>
      <c r="B414" s="43" t="inlineStr">
        <is>
          <t>v2q-007</t>
        </is>
      </c>
      <c r="C414" s="43" t="inlineStr">
        <is>
          <t>What is the full form of PMJJBY, and which event does its life insurance cover?</t>
        </is>
      </c>
      <c r="D414" s="43" t="inlineStr">
        <is>
          <t>PMJJBY stands for Pradhan Mantri Jeevan Jyoti Bima Yojana and provides life-insurance cover for death due to any reason.</t>
        </is>
      </c>
      <c r="E414" s="43" t="inlineStr">
        <is>
          <t>pilot-v2-doc-pmjjby-0000-47f7bb620cd4</t>
        </is>
      </c>
      <c r="F414" s="43" t="inlineStr">
        <is>
          <t>Pradhan Mantri Jeevan Jyoti Bima Yojana</t>
        </is>
      </c>
      <c r="G414"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414" s="49" t="inlineStr">
        <is>
          <t>2</t>
        </is>
      </c>
      <c r="I414" s="49" t="str"/>
      <c r="J414" s="55">
        <f>INT((ROW()-2)/50)+1</f>
        <v/>
      </c>
      <c r="K414" s="55">
        <f>IF(H414="","Pending",IF(OR(H414="0",H414="1",H414="2",H414="U"),"Complete","Invalid"))</f>
        <v/>
      </c>
    </row>
    <row r="415" ht="84" customHeight="1">
      <c r="A415" s="43" t="inlineStr">
        <is>
          <t>v2q-010-candidate-10</t>
        </is>
      </c>
      <c r="B415" s="43" t="inlineStr">
        <is>
          <t>v2q-010</t>
        </is>
      </c>
      <c r="C415" s="43" t="inlineStr">
        <is>
          <t>What is the full form of PM POSHAN, and what meal benefit does it provide?</t>
        </is>
      </c>
      <c r="D415" s="43" t="inlineStr">
        <is>
          <t>PM POSHAN means Prime Minister's Overarching Scheme for Holistic Nourishment and provides one hot cooked meal to children in government and government-aided schools.</t>
        </is>
      </c>
      <c r="E415" s="43" t="inlineStr">
        <is>
          <t>pilot-v2-doc-pmay-g-0000-d4162175877d</t>
        </is>
      </c>
      <c r="F415" s="43" t="inlineStr">
        <is>
          <t>Pradhan Mantri Awaas Yojana - Gramin</t>
        </is>
      </c>
      <c r="G415"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415" s="49" t="inlineStr">
        <is>
          <t>0</t>
        </is>
      </c>
      <c r="I415" s="49" t="str"/>
      <c r="J415" s="55">
        <f>INT((ROW()-2)/50)+1</f>
        <v/>
      </c>
      <c r="K415" s="55">
        <f>IF(H415="","Pending",IF(OR(H415="0",H415="1",H415="2",H415="U"),"Complete","Invalid"))</f>
        <v/>
      </c>
    </row>
    <row r="416" ht="84" customHeight="1">
      <c r="A416" s="43" t="inlineStr">
        <is>
          <t>v2q-017-candidate-08</t>
        </is>
      </c>
      <c r="B416" s="43" t="inlineStr">
        <is>
          <t>v2q-017</t>
        </is>
      </c>
      <c r="C416" s="43" t="inlineStr">
        <is>
          <t>Which training route serves people no longer in education or work who need an initial occupational skill?</t>
        </is>
      </c>
      <c r="D416" s="43" t="inlineStr">
        <is>
          <t>PMKVY 4.0 Short-Term Training provides fresh skilling, reskilling, or upskilling for groups including school or college dropouts and unemployed youth.</t>
        </is>
      </c>
      <c r="E416" s="43" t="inlineStr">
        <is>
          <t>pilot-v2-doc-pmkvy-stt-0003-3729a1c2e22c</t>
        </is>
      </c>
      <c r="F416" s="43" t="inlineStr">
        <is>
          <t>Pradhan Mantri Kaushal Vikas Yojana 4.0 - Short-Term Training</t>
        </is>
      </c>
      <c r="G416" s="43" t="inlineStr">
        <is>
          <t>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for training in the same sector, with the second time being for a higher NSQF-aligned job role only, and with a six-month gap between the certification date of the first course and the batch start date of the subsequent course.. Step 1: The applicant first registers on the Skill India Digital (SID) platform or the mobile application developed for the purpose; profile verification is completed through mobile-based OTP (eKYC), and a de-duplication check is carried out against the SID database to prevent re-enrolment in the same job role. Step 2: During registration, candidate profiling is done, with existing details fetched from other portals such as e-Shram and the National Career Services (NCS). Step 3: Online counselling is offered through SID to help the candidate select an appropriate course and Training Centre; the candidate may select the nearest Training Centre based on the availability of the preferred job role and the 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t>
        </is>
      </c>
      <c r="H416" s="49" t="inlineStr">
        <is>
          <t>1</t>
        </is>
      </c>
      <c r="I416" s="49" t="str"/>
      <c r="J416" s="55">
        <f>INT((ROW()-2)/50)+1</f>
        <v/>
      </c>
      <c r="K416" s="55">
        <f>IF(H416="","Pending",IF(OR(H416="0",H416="1",H416="2",H416="U"),"Complete","Invalid"))</f>
        <v/>
      </c>
    </row>
    <row r="417" ht="84" customHeight="1">
      <c r="A417" s="43" t="inlineStr">
        <is>
          <t>v2q-013-candidate-09</t>
        </is>
      </c>
      <c r="B417" s="43" t="inlineStr">
        <is>
          <t>v2q-013</t>
        </is>
      </c>
      <c r="C417" s="43" t="inlineStr">
        <is>
          <t>Which initiative helps women in low-income countryside homes replace smoke-producing solid cooking materials with bottled gas?</t>
        </is>
      </c>
      <c r="D417" s="43" t="inlineStr">
        <is>
          <t>Pradhan Mantri Ujjwala Yojana provides LPG access to rural and deprived households that previously relied on traditional cooking fuels.</t>
        </is>
      </c>
      <c r="E417" s="43" t="inlineStr">
        <is>
          <t>pilot-v2-doc-pmegp-0004-80f46cce6893</t>
        </is>
      </c>
      <c r="F417" s="43" t="inlineStr">
        <is>
          <t>Prime Minister's Employment Generation Programme</t>
        </is>
      </c>
      <c r="G417" s="43" t="inlineStr">
        <is>
          <t>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is>
      </c>
      <c r="H417" s="49" t="inlineStr">
        <is>
          <t>0</t>
        </is>
      </c>
      <c r="I417" s="49" t="str"/>
      <c r="J417" s="55">
        <f>INT((ROW()-2)/50)+1</f>
        <v/>
      </c>
      <c r="K417" s="55">
        <f>IF(H417="","Pending",IF(OR(H417="0",H417="1",H417="2",H417="U"),"Complete","Invalid"))</f>
        <v/>
      </c>
    </row>
    <row r="418" ht="84" customHeight="1">
      <c r="A418" s="43" t="inlineStr">
        <is>
          <t>v2q-025-candidate-07</t>
        </is>
      </c>
      <c r="B418" s="43" t="inlineStr">
        <is>
          <t>v2q-025</t>
        </is>
      </c>
      <c r="C418" s="43" t="inlineStr">
        <is>
          <t>What banking function does PMJDY provide, and which other programme from its ministry finances income-generating micro-enterprises?</t>
        </is>
      </c>
      <c r="D418" s="43" t="inlineStr">
        <is>
          <t>PMJDY provides universal banking services for unbanked households. PMMY, under the same Ministry of Finance, provides micro-credit for income-generating micro-enterprises.</t>
        </is>
      </c>
      <c r="E418" s="43" t="inlineStr">
        <is>
          <t>pilot-v2-doc-pmjdy-0002-8b8c40538d6e</t>
        </is>
      </c>
      <c r="F418" s="43" t="inlineStr">
        <is>
          <t>Pradhan Mantri Jan Dhan Yojana</t>
        </is>
      </c>
      <c r="G418" s="43" t="inlineStr">
        <is>
          <t>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 you will find live links for &amp;quot;Account Opening Form&amp;quot;.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is>
      </c>
      <c r="H418" s="49" t="inlineStr">
        <is>
          <t>1</t>
        </is>
      </c>
      <c r="I418" s="49" t="str"/>
      <c r="J418" s="55">
        <f>INT((ROW()-2)/50)+1</f>
        <v/>
      </c>
      <c r="K418" s="55">
        <f>IF(H418="","Pending",IF(OR(H418="0",H418="1",H418="2",H418="U"),"Complete","Invalid"))</f>
        <v/>
      </c>
    </row>
    <row r="419" ht="84" customHeight="1">
      <c r="A419" s="43" t="inlineStr">
        <is>
          <t>v2q-016-candidate-16</t>
        </is>
      </c>
      <c r="B419" s="43" t="inlineStr">
        <is>
          <t>v2q-016</t>
        </is>
      </c>
      <c r="C419" s="43" t="inlineStr">
        <is>
          <t>How can an experienced worker obtain formal recognition for skills learned outside a training course?</t>
        </is>
      </c>
      <c r="D419" s="43" t="inlineStr">
        <is>
          <t>PMKVY 4.0 Recognition of Prior Learning assesses, upskills, and certifies candidates who already possess relevant skills or prior-learning experience.</t>
        </is>
      </c>
      <c r="E419" s="43" t="inlineStr">
        <is>
          <t>pilot-v2-doc-pmkvy-rpl-0001-9ccf0701dcf9</t>
        </is>
      </c>
      <c r="F419" s="43" t="inlineStr">
        <is>
          <t>Pradhan Mantri Kaushal Vikas Yojana 4.0 - Recognition Of Prior Learning</t>
        </is>
      </c>
      <c r="G419" s="43" t="inlineStr">
        <is>
          <t>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 at its own cost. A graded Skill Certificate and Marksheet on passing, with the grade awarded as Grade A (85% and above) or Grade B (70% to less than 85%). Conditions associated with the benefits: The pass percentage for a Qualification Pack (QP) is 70%; a candidate must achieve marks greater than or equal to 70% to be awarded the Skill Certificate. Marks scored in the Core National Occupational Standards (NOS) of a QP are given 70% weightage, and the remaining 30% weightage is from the Non-Core NOS. Certification is at the same NSQF level as determined during pre-screening. AEBAS-based compulsory attendance is applicable, and more than 70% biometric attendance is required to appear for the assessment. Indicative average unit (per-candidate) cost by RPL type RPL with upskilling (30 hours) at an Accredited and Affiliated Training Centre: ₹3,126.18 per candidate. RPL with upskilling (30 hours) at Industry premises: ₹2,826.18 per candidate. RPL with upskilling (60 hours) at an Accredited and Affiliated Training Centre: ₹3,962.88 per candidate. RPL with upskilling (60 hours) at Industry premises: ₹3,662.88 per candidate. (Note on the 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t>
        </is>
      </c>
      <c r="H419" s="49" t="inlineStr">
        <is>
          <t>2</t>
        </is>
      </c>
      <c r="I419" s="49" t="str"/>
      <c r="J419" s="55">
        <f>INT((ROW()-2)/50)+1</f>
        <v/>
      </c>
      <c r="K419" s="55">
        <f>IF(H419="","Pending",IF(OR(H419="0",H419="1",H419="2",H419="U"),"Complete","Invalid"))</f>
        <v/>
      </c>
    </row>
    <row r="420" ht="84" customHeight="1">
      <c r="A420" s="43" t="inlineStr">
        <is>
          <t>v2q-008-candidate-09</t>
        </is>
      </c>
      <c r="B420" s="43" t="inlineStr">
        <is>
          <t>v2q-008</t>
        </is>
      </c>
      <c r="C420" s="43" t="inlineStr">
        <is>
          <t>Which accident-insurance programme is abbreviated PMSBY, and which outcomes trigger its cover?</t>
        </is>
      </c>
      <c r="D420" s="43" t="inlineStr">
        <is>
          <t>PMSBY stands for Pradhan Mantri Suraksha Bima Yojana and covers accidental death and disability.</t>
        </is>
      </c>
      <c r="E420" s="43" t="inlineStr">
        <is>
          <t>pilot-v2-doc-pmfby-0001-4270154049cc</t>
        </is>
      </c>
      <c r="F420" s="43" t="inlineStr">
        <is>
          <t>Pradhan Mantri Fasal Bima Yojna (PMFBY)</t>
        </is>
      </c>
      <c r="G420"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420" s="49" t="inlineStr">
        <is>
          <t>0</t>
        </is>
      </c>
      <c r="I420" s="49" t="str"/>
      <c r="J420" s="55">
        <f>INT((ROW()-2)/50)+1</f>
        <v/>
      </c>
      <c r="K420" s="55">
        <f>IF(H420="","Pending",IF(OR(H420="0",H420="1",H420="2",H420="U"),"Complete","Invalid"))</f>
        <v/>
      </c>
    </row>
    <row r="421" ht="84" customHeight="1">
      <c r="A421" s="43" t="inlineStr">
        <is>
          <t>v2q-021-candidate-18</t>
        </is>
      </c>
      <c r="B421" s="43" t="inlineStr">
        <is>
          <t>v2q-021</t>
        </is>
      </c>
      <c r="C421" s="43" t="inlineStr">
        <is>
          <t>How do insurance companies and banks participate in PMFBY?</t>
        </is>
      </c>
      <c r="D421" s="43" t="inlineStr">
        <is>
          <t>PMFBY is implemented through a network of insurance companies and banks to provide crop-insurance protection to farmers.</t>
        </is>
      </c>
      <c r="E421" s="43" t="inlineStr">
        <is>
          <t>pilot-v2-doc-pm-kisan-guidelines-0001-5ad8f250b7e2</t>
        </is>
      </c>
      <c r="F421" s="43" t="inlineStr">
        <is>
          <t>PM-KISAN Operational Guidelines</t>
        </is>
      </c>
      <c r="G421"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421" s="49" t="inlineStr">
        <is>
          <t>0</t>
        </is>
      </c>
      <c r="I421" s="49" t="str"/>
      <c r="J421" s="55">
        <f>INT((ROW()-2)/50)+1</f>
        <v/>
      </c>
      <c r="K421" s="55">
        <f>IF(H421="","Pending",IF(OR(H421="0",H421="1",H421="2",H421="U"),"Complete","Invalid"))</f>
        <v/>
      </c>
    </row>
    <row r="422" ht="84" customHeight="1">
      <c r="A422" s="43" t="inlineStr">
        <is>
          <t>v2q-025-candidate-10</t>
        </is>
      </c>
      <c r="B422" s="43" t="inlineStr">
        <is>
          <t>v2q-025</t>
        </is>
      </c>
      <c r="C422" s="43" t="inlineStr">
        <is>
          <t>What banking function does PMJDY provide, and which other programme from its ministry finances income-generating micro-enterprises?</t>
        </is>
      </c>
      <c r="D422" s="43" t="inlineStr">
        <is>
          <t>PMJDY provides universal banking services for unbanked households. PMMY, under the same Ministry of Finance, provides micro-credit for income-generating micro-enterprises.</t>
        </is>
      </c>
      <c r="E422" s="43" t="inlineStr">
        <is>
          <t>pilot-v2-doc-ab-pmjay-0000-94c82a474579</t>
        </is>
      </c>
      <c r="F422" s="43" t="inlineStr">
        <is>
          <t>Ayushman Bharat - Pradhan Mantri Jan Arogya Yojana</t>
        </is>
      </c>
      <c r="G422"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422" s="49" t="inlineStr">
        <is>
          <t>0</t>
        </is>
      </c>
      <c r="I422" s="49" t="str"/>
      <c r="J422" s="55">
        <f>INT((ROW()-2)/50)+1</f>
        <v/>
      </c>
      <c r="K422" s="55">
        <f>IF(H422="","Pending",IF(OR(H422="0",H422="1",H422="2",H422="U"),"Complete","Invalid"))</f>
        <v/>
      </c>
    </row>
    <row r="423" ht="84" customHeight="1">
      <c r="A423" s="43" t="inlineStr">
        <is>
          <t>v2q-025-candidate-13</t>
        </is>
      </c>
      <c r="B423" s="43" t="inlineStr">
        <is>
          <t>v2q-025</t>
        </is>
      </c>
      <c r="C423" s="43" t="inlineStr">
        <is>
          <t>What banking function does PMJDY provide, and which other programme from its ministry finances income-generating micro-enterprises?</t>
        </is>
      </c>
      <c r="D423" s="43" t="inlineStr">
        <is>
          <t>PMJDY provides universal banking services for unbanked households. PMMY, under the same Ministry of Finance, provides micro-credit for income-generating micro-enterprises.</t>
        </is>
      </c>
      <c r="E423" s="43" t="inlineStr">
        <is>
          <t>pilot-v2-doc-pmjdy-0000-8b241ec39723</t>
        </is>
      </c>
      <c r="F423" s="43" t="inlineStr">
        <is>
          <t>Pradhan Mantri Jan Dhan Yojana</t>
        </is>
      </c>
      <c r="G423"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423" s="49" t="inlineStr">
        <is>
          <t>2</t>
        </is>
      </c>
      <c r="I423" s="49" t="str"/>
      <c r="J423" s="55">
        <f>INT((ROW()-2)/50)+1</f>
        <v/>
      </c>
      <c r="K423" s="55">
        <f>IF(H423="","Pending",IF(OR(H423="0",H423="1",H423="2",H423="U"),"Complete","Invalid"))</f>
        <v/>
      </c>
    </row>
    <row r="424" ht="84" customHeight="1">
      <c r="A424" s="43" t="inlineStr">
        <is>
          <t>v2q-004-candidate-05</t>
        </is>
      </c>
      <c r="B424" s="43" t="inlineStr">
        <is>
          <t>v2q-004</t>
        </is>
      </c>
      <c r="C424" s="43" t="inlineStr">
        <is>
          <t>What is the maximum micro-loan amount stated for PMMY?</t>
        </is>
      </c>
      <c r="D424" s="43" t="inlineStr">
        <is>
          <t>PMMY facilitates micro-credit loans up to ₹20 lakh for eligible income-generating micro-enterprises.</t>
        </is>
      </c>
      <c r="E424" s="43" t="inlineStr">
        <is>
          <t>pilot-v2-doc-pmegp-0000-7b958e1ec4b0</t>
        </is>
      </c>
      <c r="F424" s="43" t="inlineStr">
        <is>
          <t>Prime Minister's Employment Generation Programme</t>
        </is>
      </c>
      <c r="G424"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424" s="49" t="inlineStr">
        <is>
          <t>0</t>
        </is>
      </c>
      <c r="I424" s="49" t="str"/>
      <c r="J424" s="55">
        <f>INT((ROW()-2)/50)+1</f>
        <v/>
      </c>
      <c r="K424" s="55">
        <f>IF(H424="","Pending",IF(OR(H424="0",H424="1",H424="2",H424="U"),"Complete","Invalid"))</f>
        <v/>
      </c>
    </row>
    <row r="425" ht="84" customHeight="1">
      <c r="A425" s="43" t="inlineStr">
        <is>
          <t>v2q-030-candidate-11</t>
        </is>
      </c>
      <c r="B425" s="43" t="inlineStr">
        <is>
          <t>v2q-030</t>
        </is>
      </c>
      <c r="C425" s="43" t="inlineStr">
        <is>
          <t>What retirement benefit does APY offer, and which life-insurance programme administered through the same department covers death from any cause?</t>
        </is>
      </c>
      <c r="D425" s="43" t="inlineStr">
        <is>
          <t>APY offers guaranteed monthly pension options after age 60. PMJJBY, associated with the same Department of Financial Services, provides life cover for death due to any reason.</t>
        </is>
      </c>
      <c r="E425" s="43" t="inlineStr">
        <is>
          <t>pilot-v2-doc-pm-kmy-guidelines-0001-5d83566dbb68</t>
        </is>
      </c>
      <c r="F425" s="43" t="inlineStr">
        <is>
          <t>Pradhan Mantri Kisan Maan Dhan Yojana Operational Guidelines</t>
        </is>
      </c>
      <c r="G425"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425" s="49" t="inlineStr">
        <is>
          <t>0</t>
        </is>
      </c>
      <c r="I425" s="49" t="str"/>
      <c r="J425" s="55">
        <f>INT((ROW()-2)/50)+1</f>
        <v/>
      </c>
      <c r="K425" s="55">
        <f>IF(H425="","Pending",IF(OR(H425="0",H425="1",H425="2",H425="U"),"Complete","Invalid"))</f>
        <v/>
      </c>
    </row>
    <row r="426" ht="84" customHeight="1">
      <c r="A426" s="43" t="inlineStr">
        <is>
          <t>v2q-022-candidate-08</t>
        </is>
      </c>
      <c r="B426" s="43" t="inlineStr">
        <is>
          <t>v2q-022</t>
        </is>
      </c>
      <c r="C426" s="43" t="inlineStr">
        <is>
          <t>Which finance programme relies on Member Lending Institutions to extend assistance to non-corporate micro-enterprises?</t>
        </is>
      </c>
      <c r="D426" s="43" t="inlineStr">
        <is>
          <t>Eligible Member Lending Institutions extend PMMY financial assistance and provide the scheme’s micro-loans to qualifying micro and small enterprises.</t>
        </is>
      </c>
      <c r="E426" s="43" t="inlineStr">
        <is>
          <t>pilot-v2-doc-pmay-g-0001-db2db8af1543</t>
        </is>
      </c>
      <c r="F426" s="43" t="inlineStr">
        <is>
          <t>Pradhan Mantri Awaas Yojana - Gramin</t>
        </is>
      </c>
      <c r="G426"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426" s="49" t="inlineStr">
        <is>
          <t>0</t>
        </is>
      </c>
      <c r="I426" s="49" t="str"/>
      <c r="J426" s="55">
        <f>INT((ROW()-2)/50)+1</f>
        <v/>
      </c>
      <c r="K426" s="55">
        <f>IF(H426="","Pending",IF(OR(H426="0",H426="1",H426="2",H426="U"),"Complete","Invalid"))</f>
        <v/>
      </c>
    </row>
    <row r="427" ht="84" customHeight="1">
      <c r="A427" s="43" t="inlineStr">
        <is>
          <t>v2q-015-candidate-20</t>
        </is>
      </c>
      <c r="B427" s="43" t="inlineStr">
        <is>
          <t>v2q-015</t>
        </is>
      </c>
      <c r="C427" s="43" t="inlineStr">
        <is>
          <t>Which initiative helps job-seekers and established craftspeople launch small businesses outside agriculture?</t>
        </is>
      </c>
      <c r="D427" s="43" t="inlineStr">
        <is>
          <t>The Prime Minister's Employment Generation Programme supports new micro-enterprises to create self-employment for traditional artisans, unemployed youth, and other eligible beneficiaries.</t>
        </is>
      </c>
      <c r="E427" s="43" t="inlineStr">
        <is>
          <t>pilot-v2-doc-mgnrega-0001-5203a455caa6</t>
        </is>
      </c>
      <c r="F427" s="43" t="inlineStr">
        <is>
          <t>Mahatma Gandhi National Rural Employment Guarantee Act</t>
        </is>
      </c>
      <c r="G427"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427" s="49" t="inlineStr">
        <is>
          <t>0</t>
        </is>
      </c>
      <c r="I427" s="49" t="str"/>
      <c r="J427" s="55">
        <f>INT((ROW()-2)/50)+1</f>
        <v/>
      </c>
      <c r="K427" s="55">
        <f>IF(H427="","Pending",IF(OR(H427="0",H427="1",H427="2",H427="U"),"Complete","Invalid"))</f>
        <v/>
      </c>
    </row>
    <row r="428" ht="84" customHeight="1">
      <c r="A428" s="43" t="inlineStr">
        <is>
          <t>v2q-002-candidate-03</t>
        </is>
      </c>
      <c r="B428" s="43" t="inlineStr">
        <is>
          <t>v2q-002</t>
        </is>
      </c>
      <c r="C428" s="43" t="inlineStr">
        <is>
          <t>What maximum premium rates can farmers pay under PMFBY for Kharif, Rabi, and annual commercial or horticultural crops?</t>
        </is>
      </c>
      <c r="D428" s="43" t="inlineStr">
        <is>
          <t>Farmers pay at most 2% for Kharif food and oilseed crops, 1.5% for Rabi food and oilseed crops, and 5% for annual commercial or horticultural crops.</t>
        </is>
      </c>
      <c r="E428" s="43" t="inlineStr">
        <is>
          <t>pilot-v2-doc-pmfby-0002-5c46025b568d</t>
        </is>
      </c>
      <c r="F428" s="43" t="inlineStr">
        <is>
          <t>Pradhan Mantri Fasal Bima Yojna (PMFBY)</t>
        </is>
      </c>
      <c r="G428" s="43" t="inlineStr">
        <is>
          <t>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is>
      </c>
      <c r="H428" s="49" t="inlineStr">
        <is>
          <t>1</t>
        </is>
      </c>
      <c r="I428" s="49" t="str"/>
      <c r="J428" s="55">
        <f>INT((ROW()-2)/50)+1</f>
        <v/>
      </c>
      <c r="K428" s="55">
        <f>IF(H428="","Pending",IF(OR(H428="0",H428="1",H428="2",H428="U"),"Complete","Invalid"))</f>
        <v/>
      </c>
    </row>
    <row r="429" ht="84" customHeight="1">
      <c r="A429" s="43" t="inlineStr">
        <is>
          <t>v2q-006-candidate-19</t>
        </is>
      </c>
      <c r="B429" s="43" t="inlineStr">
        <is>
          <t>v2q-006</t>
        </is>
      </c>
      <c r="C429" s="43" t="inlineStr">
        <is>
          <t>What annual hospitalisation cover does AB-PMJAY provide per eligible family?</t>
        </is>
      </c>
      <c r="D429" s="43" t="inlineStr">
        <is>
          <t>AB-PMJAY provides cashless hospitalisation cover of ₹5 lakh per family per year for secondary and tertiary healthcare.</t>
        </is>
      </c>
      <c r="E429" s="43" t="inlineStr">
        <is>
          <t>pilot-v2-doc-pm-kisan-guidelines-0007-38a7fcb29c5d</t>
        </is>
      </c>
      <c r="F429" s="43" t="inlineStr">
        <is>
          <t>PM-KISAN Operational Guidelines</t>
        </is>
      </c>
      <c r="G429" s="43" t="inlineStr">
        <is>
          <t>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 Jharkhand,
the following proposal of Government of Jharkhand was considered and approved by
the Committee:
“The farmer will be asked to submit ‘Vanshavali (Lineage)’ linked to the entry of land
record comprising his \ her ancestor’s name giving a chart of successor. This lineage
chart shall be submitted before the Gram Sabha for calling objections. After approval of
the Gram Sabha, the  village  level  \  circle  level revenue  officials  will  verify and
authenticate the Vanshawali and possession of holding. This authenticated  list of
farmers after due verification of succession chart shall be countersigned by the District
level revenue  authority. Farmers’ names,  subject  to the exclusion  criterion  after
following the aforementioned process, shall be uploaded on the PM-Kisan portal along
with other required details for this disbursement of benefit under the scheme.”
6.    Strategy for Implementation
6.1   The States shall prepare database of eligible beneficiary land holder farmer
families in the villages capturing the Name, Age, Gender, Category (SC/ST), Aadhaar
Number, Bank  Account Number and  the  Mobile Number  of  the  beneficiaries.
Responsibility of identifying the land holder farmer family eligible for benefit under the
scheme shall be of the State  / UT Government. In case of beneficiaries in States of
Assam, Meghalaya, J&amp;K where Aadhaar number has not been issued to most of the
citizens, Aadhaar number shall be collected for those beneficiaries where it is available
and for others alternate prescribed documents such as Driving Licence, Voters’ ID Card,
NREGA</t>
        </is>
      </c>
      <c r="H429" s="49" t="inlineStr">
        <is>
          <t>0</t>
        </is>
      </c>
      <c r="I429" s="49" t="str"/>
      <c r="J429" s="55">
        <f>INT((ROW()-2)/50)+1</f>
        <v/>
      </c>
      <c r="K429" s="55">
        <f>IF(H429="","Pending",IF(OR(H429="0",H429="1",H429="2",H429="U"),"Complete","Invalid"))</f>
        <v/>
      </c>
    </row>
    <row r="430" ht="84" customHeight="1">
      <c r="A430" s="43" t="inlineStr">
        <is>
          <t>v2q-025-candidate-19</t>
        </is>
      </c>
      <c r="B430" s="43" t="inlineStr">
        <is>
          <t>v2q-025</t>
        </is>
      </c>
      <c r="C430" s="43" t="inlineStr">
        <is>
          <t>What banking function does PMJDY provide, and which other programme from its ministry finances income-generating micro-enterprises?</t>
        </is>
      </c>
      <c r="D430" s="43" t="inlineStr">
        <is>
          <t>PMJDY provides universal banking services for unbanked households. PMMY, under the same Ministry of Finance, provides micro-credit for income-generating micro-enterprises.</t>
        </is>
      </c>
      <c r="E430" s="43" t="inlineStr">
        <is>
          <t>pilot-v2-doc-pmsby-0000-0f297846df39</t>
        </is>
      </c>
      <c r="F430" s="43" t="inlineStr">
        <is>
          <t>Pradhan Mantri Suraksha Bima Yojana</t>
        </is>
      </c>
      <c r="G430"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430" s="49" t="inlineStr">
        <is>
          <t>0</t>
        </is>
      </c>
      <c r="I430" s="49" t="str"/>
      <c r="J430" s="55">
        <f>INT((ROW()-2)/50)+1</f>
        <v/>
      </c>
      <c r="K430" s="55">
        <f>IF(H430="","Pending",IF(OR(H430="0",H430="1",H430="2",H430="U"),"Complete","Invalid"))</f>
        <v/>
      </c>
    </row>
    <row r="431" ht="84" customHeight="1">
      <c r="A431" s="43" t="inlineStr">
        <is>
          <t>v2q-032-candidate-05</t>
        </is>
      </c>
      <c r="B431" s="43" t="inlineStr">
        <is>
          <t>v2q-032</t>
        </is>
      </c>
      <c r="C431" s="43" t="inlineStr">
        <is>
          <t>How do three farmer programmes separately address crop loss, current income needs, and old-age income security?</t>
        </is>
      </c>
      <c r="D431" s="43" t="inlineStr">
        <is>
          <t>PMFBY insures crops against specified losses; PM-KISAN transfers ₹6,000 annually to eligible farmer families; PM-KMY provides eligible small and marginal farmers an assured ₹3,000 monthly pension from age 60.</t>
        </is>
      </c>
      <c r="E431" s="43" t="inlineStr">
        <is>
          <t>pilot-v2-doc-apy-0000-c43dd88d7899</t>
        </is>
      </c>
      <c r="F431" s="43" t="inlineStr">
        <is>
          <t>Atal Pension Yojana</t>
        </is>
      </c>
      <c r="G431"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431" s="49" t="inlineStr">
        <is>
          <t>0</t>
        </is>
      </c>
      <c r="I431" s="49" t="str"/>
      <c r="J431" s="55">
        <f>INT((ROW()-2)/50)+1</f>
        <v/>
      </c>
      <c r="K431" s="55">
        <f>IF(H431="","Pending",IF(OR(H431="0",H431="1",H431="2",H431="U"),"Complete","Invalid"))</f>
        <v/>
      </c>
    </row>
    <row r="432" ht="84" customHeight="1">
      <c r="A432" s="43" t="inlineStr">
        <is>
          <t>v2q-028-candidate-03</t>
        </is>
      </c>
      <c r="B432" s="43" t="inlineStr">
        <is>
          <t>v2q-028</t>
        </is>
      </c>
      <c r="C432" s="43" t="inlineStr">
        <is>
          <t>What does PMKVY Recognition of Prior Learning certify, and which other pathway from its ministry serves candidates seeking fresh short-term skills training?</t>
        </is>
      </c>
      <c r="D432" s="43" t="inlineStr">
        <is>
          <t>PMKVY Recognition of Prior Learning certifies candidates’ existing skills. PMKVY Short-Term Training, under the same Ministry of Skill Development and Entrepreneurship, provides fresh skilling, reskilling, or upskilling.</t>
        </is>
      </c>
      <c r="E432" s="43" t="inlineStr">
        <is>
          <t>pilot-v2-doc-pmkvy-stt-0004-0258e7b813c4</t>
        </is>
      </c>
      <c r="F432" s="43" t="inlineStr">
        <is>
          <t>Pradhan Mantri Kaushal Vikas Yojana 4.0 - Short-Term Training</t>
        </is>
      </c>
      <c r="G432" s="43" t="inlineStr">
        <is>
          <t>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 Training (OJT), and assessment by the NCVET-approved Awarding Bodies and Assessment Agencies. Step 6: On passing the assessment, the QR-code-based digital certificate is issued through DigiLocker, an email/phone download link, and the SID profile page, and a free printed certificate is provided by the Training Provider.</t>
        </is>
      </c>
      <c r="H432" s="49" t="inlineStr">
        <is>
          <t>1</t>
        </is>
      </c>
      <c r="I432" s="49" t="str"/>
      <c r="J432" s="55">
        <f>INT((ROW()-2)/50)+1</f>
        <v/>
      </c>
      <c r="K432" s="55">
        <f>IF(H432="","Pending",IF(OR(H432="0",H432="1",H432="2",H432="U"),"Complete","Invalid"))</f>
        <v/>
      </c>
    </row>
    <row r="433" ht="84" customHeight="1">
      <c r="A433" s="43" t="inlineStr">
        <is>
          <t>v2q-032-candidate-11</t>
        </is>
      </c>
      <c r="B433" s="43" t="inlineStr">
        <is>
          <t>v2q-032</t>
        </is>
      </c>
      <c r="C433" s="43" t="inlineStr">
        <is>
          <t>How do three farmer programmes separately address crop loss, current income needs, and old-age income security?</t>
        </is>
      </c>
      <c r="D433" s="43" t="inlineStr">
        <is>
          <t>PMFBY insures crops against specified losses; PM-KISAN transfers ₹6,000 annually to eligible farmer families; PM-KMY provides eligible small and marginal farmers an assured ₹3,000 monthly pension from age 60.</t>
        </is>
      </c>
      <c r="E433" s="43" t="inlineStr">
        <is>
          <t>pilot-v2-doc-pm-kmy-guidelines-0003-30d7d7a0db81</t>
        </is>
      </c>
      <c r="F433" s="43" t="inlineStr">
        <is>
          <t>Pradhan Mantri Kisan Maan Dhan Yojana Operational Guidelines</t>
        </is>
      </c>
      <c r="G433"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433" s="49" t="inlineStr">
        <is>
          <t>2</t>
        </is>
      </c>
      <c r="I433" s="49" t="str"/>
      <c r="J433" s="55">
        <f>INT((ROW()-2)/50)+1</f>
        <v/>
      </c>
      <c r="K433" s="55">
        <f>IF(H433="","Pending",IF(OR(H433="0",H433="1",H433="2",H433="U"),"Complete","Invalid"))</f>
        <v/>
      </c>
    </row>
    <row r="434" ht="84" customHeight="1">
      <c r="A434" s="43" t="inlineStr">
        <is>
          <t>v2q-033-candidate-13</t>
        </is>
      </c>
      <c r="B434" s="43" t="inlineStr">
        <is>
          <t>v2q-033</t>
        </is>
      </c>
      <c r="C434" s="43" t="inlineStr">
        <is>
          <t>How do three programmes support micro-enterprises, new enterprise creation, and street-vendor livelihoods through different financial mechanisms?</t>
        </is>
      </c>
      <c r="D434" s="43" t="inlineStr">
        <is>
          <t>PMMY provides micro-credit to eligible micro-enterprises; PMEGP uses a credit-linked subsidy to establish new micro-enterprises; PM SVANidhi provides street vendors collateral-free working-capital loans, interest subsidy, and digital-payment incentives.</t>
        </is>
      </c>
      <c r="E434" s="43" t="inlineStr">
        <is>
          <t>pilot-v2-doc-pm-svanidhi-0000-f6024bb09ca5</t>
        </is>
      </c>
      <c r="F434" s="43" t="inlineStr">
        <is>
          <t>PM Street Vendor’s AtmaNirbhar Nidhi (PM SVANidhi)</t>
        </is>
      </c>
      <c r="G434"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434" s="49" t="inlineStr">
        <is>
          <t>2</t>
        </is>
      </c>
      <c r="I434" s="49" t="str"/>
      <c r="J434" s="55">
        <f>INT((ROW()-2)/50)+1</f>
        <v/>
      </c>
      <c r="K434" s="55">
        <f>IF(H434="","Pending",IF(OR(H434="0",H434="1",H434="2",H434="U"),"Complete","Invalid"))</f>
        <v/>
      </c>
    </row>
    <row r="435" ht="84" customHeight="1">
      <c r="A435" s="43" t="inlineStr">
        <is>
          <t>v2q-006-candidate-28</t>
        </is>
      </c>
      <c r="B435" s="43" t="inlineStr">
        <is>
          <t>v2q-006</t>
        </is>
      </c>
      <c r="C435" s="43" t="inlineStr">
        <is>
          <t>What annual hospitalisation cover does AB-PMJAY provide per eligible family?</t>
        </is>
      </c>
      <c r="D435" s="43" t="inlineStr">
        <is>
          <t>AB-PMJAY provides cashless hospitalisation cover of ₹5 lakh per family per year for secondary and tertiary healthcare.</t>
        </is>
      </c>
      <c r="E435" s="43" t="inlineStr">
        <is>
          <t>pilot-v2-doc-pm-janman-0002-d0844e3327b6</t>
        </is>
      </c>
      <c r="F435" s="43" t="inlineStr">
        <is>
          <t>PM Janjati Adivasi Nyaya Maha Abhiyan (PM JANMAN)</t>
        </is>
      </c>
      <c r="G435"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435" s="49" t="inlineStr">
        <is>
          <t>0</t>
        </is>
      </c>
      <c r="I435" s="49" t="str"/>
      <c r="J435" s="55">
        <f>INT((ROW()-2)/50)+1</f>
        <v/>
      </c>
      <c r="K435" s="55">
        <f>IF(H435="","Pending",IF(OR(H435="0",H435="1",H435="2",H435="U"),"Complete","Invalid"))</f>
        <v/>
      </c>
    </row>
    <row r="436" ht="84" customHeight="1">
      <c r="A436" s="43" t="inlineStr">
        <is>
          <t>v2q-030-candidate-08</t>
        </is>
      </c>
      <c r="B436" s="43" t="inlineStr">
        <is>
          <t>v2q-030</t>
        </is>
      </c>
      <c r="C436" s="43" t="inlineStr">
        <is>
          <t>What retirement benefit does APY offer, and which life-insurance programme administered through the same department covers death from any cause?</t>
        </is>
      </c>
      <c r="D436" s="43" t="inlineStr">
        <is>
          <t>APY offers guaranteed monthly pension options after age 60. PMJJBY, associated with the same Department of Financial Services, provides life cover for death due to any reason.</t>
        </is>
      </c>
      <c r="E436" s="43" t="inlineStr">
        <is>
          <t>pilot-v2-doc-apy-0002-66a5cc4017fb</t>
        </is>
      </c>
      <c r="F436" s="43" t="inlineStr">
        <is>
          <t>Atal Pension Yojana</t>
        </is>
      </c>
      <c r="G436"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436" s="49" t="inlineStr">
        <is>
          <t>2</t>
        </is>
      </c>
      <c r="I436" s="49" t="str"/>
      <c r="J436" s="55">
        <f>INT((ROW()-2)/50)+1</f>
        <v/>
      </c>
      <c r="K436" s="55">
        <f>IF(H436="","Pending",IF(OR(H436="0",H436="1",H436="2",H436="U"),"Complete","Invalid"))</f>
        <v/>
      </c>
    </row>
    <row r="437" ht="84" customHeight="1">
      <c r="A437" s="43" t="inlineStr">
        <is>
          <t>v2q-012-candidate-14</t>
        </is>
      </c>
      <c r="B437" s="43" t="inlineStr">
        <is>
          <t>v2q-012</t>
        </is>
      </c>
      <c r="C437" s="43" t="inlineStr">
        <is>
          <t>What does PM SVANidhi stand for, and who is its intended beneficiary group?</t>
        </is>
      </c>
      <c r="D437" s="43" t="inlineStr">
        <is>
          <t>PM SVANidhi stands for PM Street Vendor’s AtmaNirbhar Nidhi and supports street vendors through working-capital and related incentives.</t>
        </is>
      </c>
      <c r="E437" s="43" t="inlineStr">
        <is>
          <t>pilot-v2-doc-pmay-u-0001-b64fadc4bf6b</t>
        </is>
      </c>
      <c r="F437" s="43" t="inlineStr">
        <is>
          <t>Pradhan Mantri Awas Yojana - Urban</t>
        </is>
      </c>
      <c r="G437"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437" s="49" t="inlineStr">
        <is>
          <t>0</t>
        </is>
      </c>
      <c r="I437" s="49" t="str"/>
      <c r="J437" s="55">
        <f>INT((ROW()-2)/50)+1</f>
        <v/>
      </c>
      <c r="K437" s="55">
        <f>IF(H437="","Pending",IF(OR(H437="0",H437="1",H437="2",H437="U"),"Complete","Invalid"))</f>
        <v/>
      </c>
    </row>
    <row r="438" ht="84" customHeight="1">
      <c r="A438" s="43" t="inlineStr">
        <is>
          <t>v2q-015-candidate-09</t>
        </is>
      </c>
      <c r="B438" s="43" t="inlineStr">
        <is>
          <t>v2q-015</t>
        </is>
      </c>
      <c r="C438" s="43" t="inlineStr">
        <is>
          <t>Which initiative helps job-seekers and established craftspeople launch small businesses outside agriculture?</t>
        </is>
      </c>
      <c r="D438" s="43" t="inlineStr">
        <is>
          <t>The Prime Minister's Employment Generation Programme supports new micro-enterprises to create self-employment for traditional artisans, unemployed youth, and other eligible beneficiaries.</t>
        </is>
      </c>
      <c r="E438" s="43" t="inlineStr">
        <is>
          <t>pilot-v2-doc-pmegp-0004-80f46cce6893</t>
        </is>
      </c>
      <c r="F438" s="43" t="inlineStr">
        <is>
          <t>Prime Minister's Employment Generation Programme</t>
        </is>
      </c>
      <c r="G438" s="43" t="inlineStr">
        <is>
          <t>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is>
      </c>
      <c r="H438" s="49" t="inlineStr">
        <is>
          <t>2</t>
        </is>
      </c>
      <c r="I438" s="49" t="str"/>
      <c r="J438" s="55">
        <f>INT((ROW()-2)/50)+1</f>
        <v/>
      </c>
      <c r="K438" s="55">
        <f>IF(H438="","Pending",IF(OR(H438="0",H438="1",H438="2",H438="U"),"Complete","Invalid"))</f>
        <v/>
      </c>
    </row>
    <row r="439" ht="84" customHeight="1">
      <c r="A439" s="43" t="inlineStr">
        <is>
          <t>v2q-023-candidate-01</t>
        </is>
      </c>
      <c r="B439" s="43" t="inlineStr">
        <is>
          <t>v2q-023</t>
        </is>
      </c>
      <c r="C439" s="43" t="inlineStr">
        <is>
          <t>What role does a Gram Panchayat play when a household registers for MGNREGA?</t>
        </is>
      </c>
      <c r="D439" s="43" t="inlineStr">
        <is>
          <t>A household may apply through its local Gram Panchayat, which verifies residence, household identity, and adult membership details.</t>
        </is>
      </c>
      <c r="E439" s="43" t="inlineStr">
        <is>
          <t>pilot-v2-doc-pm-kmy-guidelines-0004-79b3bf95bb65</t>
        </is>
      </c>
      <c r="F439" s="43" t="inlineStr">
        <is>
          <t>Pradhan Mantri Kisan Maan Dhan Yojana Operational Guidelines</t>
        </is>
      </c>
      <c r="G439"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439" s="49" t="inlineStr">
        <is>
          <t>0</t>
        </is>
      </c>
      <c r="I439" s="49" t="str"/>
      <c r="J439" s="55">
        <f>INT((ROW()-2)/50)+1</f>
        <v/>
      </c>
      <c r="K439" s="55">
        <f>IF(H439="","Pending",IF(OR(H439="0",H439="1",H439="2",H439="U"),"Complete","Invalid"))</f>
        <v/>
      </c>
    </row>
    <row r="440" ht="84" customHeight="1">
      <c r="A440" s="43" t="inlineStr">
        <is>
          <t>v2q-007-candidate-14</t>
        </is>
      </c>
      <c r="B440" s="43" t="inlineStr">
        <is>
          <t>v2q-007</t>
        </is>
      </c>
      <c r="C440" s="43" t="inlineStr">
        <is>
          <t>What is the full form of PMJJBY, and which event does its life insurance cover?</t>
        </is>
      </c>
      <c r="D440" s="43" t="inlineStr">
        <is>
          <t>PMJJBY stands for Pradhan Mantri Jeevan Jyoti Bima Yojana and provides life-insurance cover for death due to any reason.</t>
        </is>
      </c>
      <c r="E440" s="43" t="inlineStr">
        <is>
          <t>pilot-v2-doc-pmjdy-0000-8b241ec39723</t>
        </is>
      </c>
      <c r="F440" s="43" t="inlineStr">
        <is>
          <t>Pradhan Mantri Jan Dhan Yojana</t>
        </is>
      </c>
      <c r="G440"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440" s="49" t="inlineStr">
        <is>
          <t>0</t>
        </is>
      </c>
      <c r="I440" s="49" t="str"/>
      <c r="J440" s="55">
        <f>INT((ROW()-2)/50)+1</f>
        <v/>
      </c>
      <c r="K440" s="55">
        <f>IF(H440="","Pending",IF(OR(H440="0",H440="1",H440="2",H440="U"),"Complete","Invalid"))</f>
        <v/>
      </c>
    </row>
    <row r="441" ht="84" customHeight="1">
      <c r="A441" s="43" t="inlineStr">
        <is>
          <t>v2q-009-candidate-03</t>
        </is>
      </c>
      <c r="B441" s="43" t="inlineStr">
        <is>
          <t>v2q-009</t>
        </is>
      </c>
      <c r="C441" s="43" t="inlineStr">
        <is>
          <t>What does APY stand for, and what monthly pension range does it guarantee after age 60?</t>
        </is>
      </c>
      <c r="D441" s="43" t="inlineStr">
        <is>
          <t>APY stands for Atal Pension Yojana and offers guaranteed monthly pension options from ₹1,000 to ₹5,000 after age 60.</t>
        </is>
      </c>
      <c r="E441" s="43" t="inlineStr">
        <is>
          <t>pilot-v2-doc-apy-0000-c43dd88d7899</t>
        </is>
      </c>
      <c r="F441" s="43" t="inlineStr">
        <is>
          <t>Atal Pension Yojana</t>
        </is>
      </c>
      <c r="G441"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441" s="49" t="inlineStr">
        <is>
          <t>2</t>
        </is>
      </c>
      <c r="I441" s="49" t="str"/>
      <c r="J441" s="55">
        <f>INT((ROW()-2)/50)+1</f>
        <v/>
      </c>
      <c r="K441" s="55">
        <f>IF(H441="","Pending",IF(OR(H441="0",H441="1",H441="2",H441="U"),"Complete","Invalid"))</f>
        <v/>
      </c>
    </row>
    <row r="442" ht="84" customHeight="1">
      <c r="A442" s="43" t="inlineStr">
        <is>
          <t>v2q-018-candidate-19</t>
        </is>
      </c>
      <c r="B442" s="43" t="inlineStr">
        <is>
          <t>v2q-018</t>
        </is>
      </c>
      <c r="C442" s="43" t="inlineStr">
        <is>
          <t>Which initiative helps city households across officially defined lower and middle income bands obtain permanent homes?</t>
        </is>
      </c>
      <c r="D442" s="43" t="inlineStr">
        <is>
          <t>Pradhan Mantri Awas Yojana–Urban addresses urban housing shortages and supports eligible EWS, LIG, and MIG households, including slum dwellers.</t>
        </is>
      </c>
      <c r="E442" s="43" t="inlineStr">
        <is>
          <t>pilot-v2-doc-pm-gkay-0002-9e804cd883e8</t>
        </is>
      </c>
      <c r="F442" s="43" t="inlineStr">
        <is>
          <t>Pradhan Mantri Garib Kalyan Anna Yojana</t>
        </is>
      </c>
      <c r="G442" s="43" t="inlineStr">
        <is>
          <t>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H442" s="49" t="inlineStr">
        <is>
          <t>0</t>
        </is>
      </c>
      <c r="I442" s="49" t="str"/>
      <c r="J442" s="55">
        <f>INT((ROW()-2)/50)+1</f>
        <v/>
      </c>
      <c r="K442" s="55">
        <f>IF(H442="","Pending",IF(OR(H442="0",H442="1",H442="2",H442="U"),"Complete","Invalid"))</f>
        <v/>
      </c>
    </row>
    <row r="443" ht="84" customHeight="1">
      <c r="A443" s="43" t="inlineStr">
        <is>
          <t>v2q-008-candidate-17</t>
        </is>
      </c>
      <c r="B443" s="43" t="inlineStr">
        <is>
          <t>v2q-008</t>
        </is>
      </c>
      <c r="C443" s="43" t="inlineStr">
        <is>
          <t>Which accident-insurance programme is abbreviated PMSBY, and which outcomes trigger its cover?</t>
        </is>
      </c>
      <c r="D443" s="43" t="inlineStr">
        <is>
          <t>PMSBY stands for Pradhan Mantri Suraksha Bima Yojana and covers accidental death and disability.</t>
        </is>
      </c>
      <c r="E443" s="43" t="inlineStr">
        <is>
          <t>pilot-v2-doc-pm-kmy-guidelines-0020-27037b9fe8a1</t>
        </is>
      </c>
      <c r="F443" s="43" t="inlineStr">
        <is>
          <t>Pradhan Mantri Kisan Maan Dhan Yojana Operational Guidelines</t>
        </is>
      </c>
      <c r="G443"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443" s="49" t="inlineStr">
        <is>
          <t>0</t>
        </is>
      </c>
      <c r="I443" s="49" t="str"/>
      <c r="J443" s="55">
        <f>INT((ROW()-2)/50)+1</f>
        <v/>
      </c>
      <c r="K443" s="55">
        <f>IF(H443="","Pending",IF(OR(H443="0",H443="1",H443="2",H443="U"),"Complete","Invalid"))</f>
        <v/>
      </c>
    </row>
    <row r="444" ht="84" customHeight="1">
      <c r="A444" s="43" t="inlineStr">
        <is>
          <t>v2q-008-candidate-20</t>
        </is>
      </c>
      <c r="B444" s="43" t="inlineStr">
        <is>
          <t>v2q-008</t>
        </is>
      </c>
      <c r="C444" s="43" t="inlineStr">
        <is>
          <t>Which accident-insurance programme is abbreviated PMSBY, and which outcomes trigger its cover?</t>
        </is>
      </c>
      <c r="D444" s="43" t="inlineStr">
        <is>
          <t>PMSBY stands for Pradhan Mantri Suraksha Bima Yojana and covers accidental death and disability.</t>
        </is>
      </c>
      <c r="E444" s="43" t="inlineStr">
        <is>
          <t>pilot-v2-doc-pmmy-0000-70a89ee32765</t>
        </is>
      </c>
      <c r="F444" s="43" t="inlineStr">
        <is>
          <t>Pradhan Mantri Mudra Yojana</t>
        </is>
      </c>
      <c r="G444"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444" s="49" t="inlineStr">
        <is>
          <t>0</t>
        </is>
      </c>
      <c r="I444" s="49" t="str"/>
      <c r="J444" s="55">
        <f>INT((ROW()-2)/50)+1</f>
        <v/>
      </c>
      <c r="K444" s="55">
        <f>IF(H444="","Pending",IF(OR(H444="0",H444="1",H444="2",H444="U"),"Complete","Invalid"))</f>
        <v/>
      </c>
    </row>
    <row r="445" ht="84" customHeight="1">
      <c r="A445" s="43" t="inlineStr">
        <is>
          <t>v2q-031-candidate-11</t>
        </is>
      </c>
      <c r="B445" s="43" t="inlineStr">
        <is>
          <t>v2q-031</t>
        </is>
      </c>
      <c r="C445" s="43" t="inlineStr">
        <is>
          <t>How do three finance-sector programmes combine basic banking, life insurance, and accident insurance?</t>
        </is>
      </c>
      <c r="D445" s="43" t="inlineStr">
        <is>
          <t>PMJDY provides universal banking and access to financial services; PMJJBY supplies life cover for death from any cause; PMSBY supplies accidental-death and disability cover.</t>
        </is>
      </c>
      <c r="E445" s="43" t="inlineStr">
        <is>
          <t>pilot-v2-doc-pm-kmy-guidelines-0017-43ef720eda68</t>
        </is>
      </c>
      <c r="F445" s="43" t="inlineStr">
        <is>
          <t>Pradhan Mantri Kisan Maan Dhan Yojana Operational Guidelines</t>
        </is>
      </c>
      <c r="G445" s="43" t="inlineStr">
        <is>
          <t>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 strictly personal and cannot be assigned,
charged or alienated in any way.
If any restraint or prohibitory order  is served on the Government in respect of any
benefit payable to a subscriber or his  / her beneficiary or  if the subscriber or the
beneficiary shall become bankrupt or attempt to assign, charge or in any way encumber
the pension or any benefit there under, he / she shall forfeit all rights and claim thereto
and the same shall lapse to the Government but without prejudice to the powers of the
Government at their discretion to maintain or continue the same, it they think fit, either
immediately or after an interval or otherwise to make payments for the support of the
subscriber. The value of any or all benefits forfeited shall be transferred to the ‘Surplus
Account’.
14.  TO PREVAIL:
Should anything contained  in these guidelines or  in any alternation or amendment
thereof be inconsistent with the object or provisions of the Scheme, the provisions of the
Scheme as approved shall prevail. On any such discrepancy coming to the notice of 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t>
        </is>
      </c>
      <c r="H445" s="49" t="inlineStr">
        <is>
          <t>0</t>
        </is>
      </c>
      <c r="I445" s="49" t="str"/>
      <c r="J445" s="55">
        <f>INT((ROW()-2)/50)+1</f>
        <v/>
      </c>
      <c r="K445" s="55">
        <f>IF(H445="","Pending",IF(OR(H445="0",H445="1",H445="2",H445="U"),"Complete","Invalid"))</f>
        <v/>
      </c>
    </row>
    <row r="446" ht="84" customHeight="1">
      <c r="A446" s="43" t="inlineStr">
        <is>
          <t>v2q-029-candidate-12</t>
        </is>
      </c>
      <c r="B446" s="43" t="inlineStr">
        <is>
          <t>v2q-029</t>
        </is>
      </c>
      <c r="C446" s="43" t="inlineStr">
        <is>
          <t>What migrant-focused facility distinguishes Ujjwala 2.0, and what clean-cooking transition was established by its predecessor programme?</t>
        </is>
      </c>
      <c r="D446" s="43" t="inlineStr">
        <is>
          <t>Ujjwala 2.0 added 1.6 crore LPG connections with a special facility for migrant households. Its predecessor, Pradhan Mantri Ujjwala Yojana, sought to replace traditional cooking fuels with LPG access for rural and deprived households.</t>
        </is>
      </c>
      <c r="E446" s="43" t="inlineStr">
        <is>
          <t>pilot-v2-doc-pm-kisan-guidelines-0010-3f4cd01daefd</t>
        </is>
      </c>
      <c r="F446" s="43" t="inlineStr">
        <is>
          <t>PM-KISAN Operational Guidelines</t>
        </is>
      </c>
      <c r="G446" s="43" t="inlineStr">
        <is>
          <t>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   will  designate  a  Nodal  Department  for
implementation of the scheme and coordinating with Central Government with regard to
implementation of Income Support Scheme.
8.3  On the lines of PMU at central level, States  / UTs may consider setting up
dedicated Project Monitoring Units at State  / UT Level. 0.125% for the amount of
installments transferred to beneficiaries can be transferred by Central Government to
State / UT Government to cover the expenditure on their PMUs, if established and for
meeting  other  related  administrative expenses  including  cost  to be  incurred  for
procurement  of  stationary,  field  verification,   filling  of  prescribed  formats,  their
certification and its uploading as well as incentive for field functionaries, publicity, etc.
States / UTs will furnish the details of the account to which Administrative Charges are
credited by the Central Government. The administrative charges payable to the States /
UTs will be provided by Government of India based on the volume of work and the
number of beneficiaries.
                                         7
9.    PM-Kisan Portal for implementation of the scheme (Beneficiary Details
uploading by State)
9.1    Beneficiaries under the scheme are 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t>
        </is>
      </c>
      <c r="H446" s="49" t="inlineStr">
        <is>
          <t>0</t>
        </is>
      </c>
      <c r="I446" s="49" t="str"/>
      <c r="J446" s="55">
        <f>INT((ROW()-2)/50)+1</f>
        <v/>
      </c>
      <c r="K446" s="55">
        <f>IF(H446="","Pending",IF(OR(H446="0",H446="1",H446="2",H446="U"),"Complete","Invalid"))</f>
        <v/>
      </c>
    </row>
    <row r="447" ht="84" customHeight="1">
      <c r="A447" s="43" t="inlineStr">
        <is>
          <t>v2q-027-candidate-15</t>
        </is>
      </c>
      <c r="B447" s="43" t="inlineStr">
        <is>
          <t>v2q-027</t>
        </is>
      </c>
      <c r="C447" s="43" t="inlineStr">
        <is>
          <t>What livelihood mechanism does PM SVANidhi offer street vendors, and which other programme from its ministry addresses housing shortages for eligible urban households?</t>
        </is>
      </c>
      <c r="D447" s="43" t="inlineStr">
        <is>
          <t>PM SVANidhi offers street vendors collateral-free working-capital loans, interest subsidy, and digital-payment incentives. PMAY-U, under the same Ministry of Housing and Urban Affairs, provides housing support for eligible urban households.</t>
        </is>
      </c>
      <c r="E447" s="43" t="inlineStr">
        <is>
          <t>pilot-v2-doc-pmegp-0000-7b958e1ec4b0</t>
        </is>
      </c>
      <c r="F447" s="43" t="inlineStr">
        <is>
          <t>Prime Minister's Employment Generation Programme</t>
        </is>
      </c>
      <c r="G447"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447" s="49" t="inlineStr">
        <is>
          <t>0</t>
        </is>
      </c>
      <c r="I447" s="49" t="str"/>
      <c r="J447" s="55">
        <f>INT((ROW()-2)/50)+1</f>
        <v/>
      </c>
      <c r="K447" s="55">
        <f>IF(H447="","Pending",IF(OR(H447="0",H447="1",H447="2",H447="U"),"Complete","Invalid"))</f>
        <v/>
      </c>
    </row>
    <row r="448" ht="84" customHeight="1">
      <c r="A448" s="43" t="inlineStr">
        <is>
          <t>v2q-030-candidate-16</t>
        </is>
      </c>
      <c r="B448" s="43" t="inlineStr">
        <is>
          <t>v2q-030</t>
        </is>
      </c>
      <c r="C448" s="43" t="inlineStr">
        <is>
          <t>What retirement benefit does APY offer, and which life-insurance programme administered through the same department covers death from any cause?</t>
        </is>
      </c>
      <c r="D448" s="43" t="inlineStr">
        <is>
          <t>APY offers guaranteed monthly pension options after age 60. PMJJBY, associated with the same Department of Financial Services, provides life cover for death due to any reason.</t>
        </is>
      </c>
      <c r="E448" s="43" t="inlineStr">
        <is>
          <t>pilot-v2-doc-pm-gkay-0000-c29b96f46a80</t>
        </is>
      </c>
      <c r="F448" s="43" t="inlineStr">
        <is>
          <t>Pradhan Mantri Garib Kalyan Anna Yojana</t>
        </is>
      </c>
      <c r="G448"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448" s="49" t="inlineStr">
        <is>
          <t>0</t>
        </is>
      </c>
      <c r="I448" s="49" t="str"/>
      <c r="J448" s="55">
        <f>INT((ROW()-2)/50)+1</f>
        <v/>
      </c>
      <c r="K448" s="55">
        <f>IF(H448="","Pending",IF(OR(H448="0",H448="1",H448="2",H448="U"),"Complete","Invalid"))</f>
        <v/>
      </c>
    </row>
    <row r="449" ht="84" customHeight="1">
      <c r="A449" s="43" t="inlineStr">
        <is>
          <t>v2q-032-candidate-15</t>
        </is>
      </c>
      <c r="B449" s="43" t="inlineStr">
        <is>
          <t>v2q-032</t>
        </is>
      </c>
      <c r="C449" s="43" t="inlineStr">
        <is>
          <t>How do three farmer programmes separately address crop loss, current income needs, and old-age income security?</t>
        </is>
      </c>
      <c r="D449" s="43" t="inlineStr">
        <is>
          <t>PMFBY insures crops against specified losses; PM-KISAN transfers ₹6,000 annually to eligible farmer families; PM-KMY provides eligible small and marginal farmers an assured ₹3,000 monthly pension from age 60.</t>
        </is>
      </c>
      <c r="E449" s="43" t="inlineStr">
        <is>
          <t>pilot-v2-doc-apy-0002-66a5cc4017fb</t>
        </is>
      </c>
      <c r="F449" s="43" t="inlineStr">
        <is>
          <t>Atal Pension Yojana</t>
        </is>
      </c>
      <c r="G449"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449" s="49" t="inlineStr">
        <is>
          <t>0</t>
        </is>
      </c>
      <c r="I449" s="49" t="str"/>
      <c r="J449" s="55">
        <f>INT((ROW()-2)/50)+1</f>
        <v/>
      </c>
      <c r="K449" s="55">
        <f>IF(H449="","Pending",IF(OR(H449="0",H449="1",H449="2",H449="U"),"Complete","Invalid"))</f>
        <v/>
      </c>
    </row>
    <row r="450" ht="84" customHeight="1">
      <c r="A450" s="43" t="inlineStr">
        <is>
          <t>v2q-018-candidate-18</t>
        </is>
      </c>
      <c r="B450" s="43" t="inlineStr">
        <is>
          <t>v2q-018</t>
        </is>
      </c>
      <c r="C450" s="43" t="inlineStr">
        <is>
          <t>Which initiative helps city households across officially defined lower and middle income bands obtain permanent homes?</t>
        </is>
      </c>
      <c r="D450" s="43" t="inlineStr">
        <is>
          <t>Pradhan Mantri Awas Yojana–Urban addresses urban housing shortages and supports eligible EWS, LIG, and MIG households, including slum dwellers.</t>
        </is>
      </c>
      <c r="E450" s="43" t="inlineStr">
        <is>
          <t>pilot-v2-doc-pm-gkay-0000-c29b96f46a80</t>
        </is>
      </c>
      <c r="F450" s="43" t="inlineStr">
        <is>
          <t>Pradhan Mantri Garib Kalyan Anna Yojana</t>
        </is>
      </c>
      <c r="G450"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450" s="49" t="inlineStr">
        <is>
          <t>0</t>
        </is>
      </c>
      <c r="I450" s="49" t="str"/>
      <c r="J450" s="55">
        <f>INT((ROW()-2)/50)+1</f>
        <v/>
      </c>
      <c r="K450" s="55">
        <f>IF(H450="","Pending",IF(OR(H450="0",H450="1",H450="2",H450="U"),"Complete","Invalid"))</f>
        <v/>
      </c>
    </row>
    <row r="451" ht="84" customHeight="1">
      <c r="A451" s="43" t="inlineStr">
        <is>
          <t>v2q-034-candidate-03</t>
        </is>
      </c>
      <c r="B451" s="43" t="inlineStr">
        <is>
          <t>v2q-034</t>
        </is>
      </c>
      <c r="C451" s="43" t="inlineStr">
        <is>
          <t>How do three programmes meet distinct household needs for rural housing, clean cooking, and food security?</t>
        </is>
      </c>
      <c r="D451" s="43" t="inlineStr">
        <is>
          <t>PMAY-G supports pucca rural housing with basic amenities; PMUY provides LPG access to deprived households replacing traditional cooking fuels; PMGKAY provides free foodgrains to eligible AAY and PHH ration-card holders.</t>
        </is>
      </c>
      <c r="E451" s="43" t="inlineStr">
        <is>
          <t>pilot-v2-doc-ab-pmjay-0001-a632a7205efc</t>
        </is>
      </c>
      <c r="F451" s="43" t="inlineStr">
        <is>
          <t>Ayushman Bharat - Pradhan Mantri Jan Arogya Yojana</t>
        </is>
      </c>
      <c r="G451"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451" s="49" t="inlineStr">
        <is>
          <t>0</t>
        </is>
      </c>
      <c r="I451" s="49" t="str"/>
      <c r="J451" s="55">
        <f>INT((ROW()-2)/50)+1</f>
        <v/>
      </c>
      <c r="K451" s="55">
        <f>IF(H451="","Pending",IF(OR(H451="0",H451="1",H451="2",H451="U"),"Complete","Invalid"))</f>
        <v/>
      </c>
    </row>
    <row r="452" ht="84" customHeight="1">
      <c r="A452" s="43" t="inlineStr">
        <is>
          <t>v2q-005-candidate-10</t>
        </is>
      </c>
      <c r="B452" s="43" t="inlineStr">
        <is>
          <t>v2q-005</t>
        </is>
      </c>
      <c r="C452" s="43" t="inlineStr">
        <is>
          <t>How many days of wage employment does MGNREGA guarantee a rural household in a financial year?</t>
        </is>
      </c>
      <c r="D452" s="43" t="inlineStr">
        <is>
          <t>MGNREGA guarantees at least 100 days of wage employment per financial year to a rural household whose adult members volunteer for unskilled work.</t>
        </is>
      </c>
      <c r="E452" s="43" t="inlineStr">
        <is>
          <t>pilot-v2-doc-pmay-g-0001-db2db8af1543</t>
        </is>
      </c>
      <c r="F452" s="43" t="inlineStr">
        <is>
          <t>Pradhan Mantri Awaas Yojana - Gramin</t>
        </is>
      </c>
      <c r="G452"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452" s="49" t="inlineStr">
        <is>
          <t>0</t>
        </is>
      </c>
      <c r="I452" s="49" t="str"/>
      <c r="J452" s="55">
        <f>INT((ROW()-2)/50)+1</f>
        <v/>
      </c>
      <c r="K452" s="55">
        <f>IF(H452="","Pending",IF(OR(H452="0",H452="1",H452="2",H452="U"),"Complete","Invalid"))</f>
        <v/>
      </c>
    </row>
    <row r="453" ht="84" customHeight="1">
      <c r="A453" s="43" t="inlineStr">
        <is>
          <t>v2q-011-candidate-12</t>
        </is>
      </c>
      <c r="B453" s="43" t="inlineStr">
        <is>
          <t>v2q-011</t>
        </is>
      </c>
      <c r="C453" s="43" t="inlineStr">
        <is>
          <t>What does PM JANMAN stand for, and which communities does it target?</t>
        </is>
      </c>
      <c r="D453" s="43" t="inlineStr">
        <is>
          <t>PM JANMAN stands for PM Janjati Adivasi Nyaya Maha Abhiyan and targets Particularly Vulnerable Tribal Groups.</t>
        </is>
      </c>
      <c r="E453" s="43" t="inlineStr">
        <is>
          <t>pilot-v2-doc-pmjdy-0001-95c3d046d79a</t>
        </is>
      </c>
      <c r="F453" s="43" t="inlineStr">
        <is>
          <t>Pradhan Mantri Jan Dhan Yojana</t>
        </is>
      </c>
      <c r="G453"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453" s="49" t="inlineStr">
        <is>
          <t>0</t>
        </is>
      </c>
      <c r="I453" s="49" t="str"/>
      <c r="J453" s="55">
        <f>INT((ROW()-2)/50)+1</f>
        <v/>
      </c>
      <c r="K453" s="55">
        <f>IF(H453="","Pending",IF(OR(H453="0",H453="1",H453="2",H453="U"),"Complete","Invalid"))</f>
        <v/>
      </c>
    </row>
    <row r="454" ht="84" customHeight="1">
      <c r="A454" s="43" t="inlineStr">
        <is>
          <t>v2q-020-candidate-21</t>
        </is>
      </c>
      <c r="B454" s="43" t="inlineStr">
        <is>
          <t>v2q-020</t>
        </is>
      </c>
      <c r="C454" s="43" t="inlineStr">
        <is>
          <t>How do NSDC and SPIAs divide responsibility in the Special Projects arm of the national skill mission?</t>
        </is>
      </c>
      <c r="D454" s="43" t="inlineStr">
        <is>
          <t>NSDC supports the ministry’s implementation, while Special Projects Implementing Agencies deliver the projects on the ground.</t>
        </is>
      </c>
      <c r="E454" s="43" t="inlineStr">
        <is>
          <t>pilot-v2-doc-pmay-g-0004-f8ee90715c3f</t>
        </is>
      </c>
      <c r="F454" s="43" t="inlineStr">
        <is>
          <t>Pradhan Mantri Awaas Yojana - Gramin</t>
        </is>
      </c>
      <c r="G454" s="43" t="inlineStr">
        <is>
          <t>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is>
      </c>
      <c r="H454" s="49" t="inlineStr">
        <is>
          <t>0</t>
        </is>
      </c>
      <c r="I454" s="49" t="str"/>
      <c r="J454" s="55">
        <f>INT((ROW()-2)/50)+1</f>
        <v/>
      </c>
      <c r="K454" s="55">
        <f>IF(H454="","Pending",IF(OR(H454="0",H454="1",H454="2",H454="U"),"Complete","Invalid"))</f>
        <v/>
      </c>
    </row>
    <row r="455" ht="84" customHeight="1">
      <c r="A455" s="43" t="inlineStr">
        <is>
          <t>v2q-023-candidate-14</t>
        </is>
      </c>
      <c r="B455" s="43" t="inlineStr">
        <is>
          <t>v2q-023</t>
        </is>
      </c>
      <c r="C455" s="43" t="inlineStr">
        <is>
          <t>What role does a Gram Panchayat play when a household registers for MGNREGA?</t>
        </is>
      </c>
      <c r="D455" s="43" t="inlineStr">
        <is>
          <t>A household may apply through its local Gram Panchayat, which verifies residence, household identity, and adult membership details.</t>
        </is>
      </c>
      <c r="E455" s="43" t="inlineStr">
        <is>
          <t>pilot-v2-doc-pmay-g-0000-d4162175877d</t>
        </is>
      </c>
      <c r="F455" s="43" t="inlineStr">
        <is>
          <t>Pradhan Mantri Awaas Yojana - Gramin</t>
        </is>
      </c>
      <c r="G455"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455" s="49" t="inlineStr">
        <is>
          <t>0</t>
        </is>
      </c>
      <c r="I455" s="49" t="str"/>
      <c r="J455" s="55">
        <f>INT((ROW()-2)/50)+1</f>
        <v/>
      </c>
      <c r="K455" s="55">
        <f>IF(H455="","Pending",IF(OR(H455="0",H455="1",H455="2",H455="U"),"Complete","Invalid"))</f>
        <v/>
      </c>
    </row>
    <row r="456" ht="84" customHeight="1">
      <c r="A456" s="43" t="inlineStr">
        <is>
          <t>v2q-031-candidate-07</t>
        </is>
      </c>
      <c r="B456" s="43" t="inlineStr">
        <is>
          <t>v2q-031</t>
        </is>
      </c>
      <c r="C456" s="43" t="inlineStr">
        <is>
          <t>How do three finance-sector programmes combine basic banking, life insurance, and accident insurance?</t>
        </is>
      </c>
      <c r="D456" s="43" t="inlineStr">
        <is>
          <t>PMJDY provides universal banking and access to financial services; PMJJBY supplies life cover for death from any cause; PMSBY supplies accidental-death and disability cover.</t>
        </is>
      </c>
      <c r="E456" s="43" t="inlineStr">
        <is>
          <t>pilot-v2-doc-pmegp-0001-f900b4f4f97a</t>
        </is>
      </c>
      <c r="F456" s="43" t="inlineStr">
        <is>
          <t>Prime Minister's Employment Generation Programme</t>
        </is>
      </c>
      <c r="G456" s="43" t="inlineStr">
        <is>
          <t>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is>
      </c>
      <c r="H456" s="49" t="inlineStr">
        <is>
          <t>0</t>
        </is>
      </c>
      <c r="I456" s="49" t="str"/>
      <c r="J456" s="55">
        <f>INT((ROW()-2)/50)+1</f>
        <v/>
      </c>
      <c r="K456" s="55">
        <f>IF(H456="","Pending",IF(OR(H456="0",H456="1",H456="2",H456="U"),"Complete","Invalid"))</f>
        <v/>
      </c>
    </row>
    <row r="457" ht="84" customHeight="1">
      <c r="A457" s="43" t="inlineStr">
        <is>
          <t>v2q-022-candidate-28</t>
        </is>
      </c>
      <c r="B457" s="43" t="inlineStr">
        <is>
          <t>v2q-022</t>
        </is>
      </c>
      <c r="C457" s="43" t="inlineStr">
        <is>
          <t>Which finance programme relies on Member Lending Institutions to extend assistance to non-corporate micro-enterprises?</t>
        </is>
      </c>
      <c r="D457" s="43" t="inlineStr">
        <is>
          <t>Eligible Member Lending Institutions extend PMMY financial assistance and provide the scheme’s micro-loans to qualifying micro and small enterprises.</t>
        </is>
      </c>
      <c r="E457" s="43" t="inlineStr">
        <is>
          <t>pilot-v2-doc-pmmy-0002-526833661bcb</t>
        </is>
      </c>
      <c r="F457" s="43" t="inlineStr">
        <is>
          <t>Pradhan Mantri Mudra Yojana</t>
        </is>
      </c>
      <c r="G457" s="43" t="inlineStr">
        <is>
          <t>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H457" s="49" t="inlineStr">
        <is>
          <t>1</t>
        </is>
      </c>
      <c r="I457" s="49" t="str"/>
      <c r="J457" s="55">
        <f>INT((ROW()-2)/50)+1</f>
        <v/>
      </c>
      <c r="K457" s="55">
        <f>IF(H457="","Pending",IF(OR(H457="0",H457="1",H457="2",H457="U"),"Complete","Invalid"))</f>
        <v/>
      </c>
    </row>
    <row r="458" ht="84" customHeight="1">
      <c r="A458" s="43" t="inlineStr">
        <is>
          <t>v2q-001-candidate-05</t>
        </is>
      </c>
      <c r="B458" s="43" t="inlineStr">
        <is>
          <t>v2q-001</t>
        </is>
      </c>
      <c r="C458" s="43" t="inlineStr">
        <is>
          <t>What is the minimum house size specified under PMAY-G?</t>
        </is>
      </c>
      <c r="D458" s="43" t="inlineStr">
        <is>
          <t>The minimum house size is 25 square metres, including a dedicated hygienic cooking area.</t>
        </is>
      </c>
      <c r="E458" s="43" t="inlineStr">
        <is>
          <t>pilot-v2-doc-pmuy-0001-5fd4d0cd2135</t>
        </is>
      </c>
      <c r="F458" s="43" t="inlineStr">
        <is>
          <t>Pradhan Mantri Ujjwala Yojana</t>
        </is>
      </c>
      <c r="G458"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458" s="49" t="inlineStr">
        <is>
          <t>0</t>
        </is>
      </c>
      <c r="I458" s="49" t="str"/>
      <c r="J458" s="55">
        <f>INT((ROW()-2)/50)+1</f>
        <v/>
      </c>
      <c r="K458" s="55">
        <f>IF(H458="","Pending",IF(OR(H458="0",H458="1",H458="2",H458="U"),"Complete","Invalid"))</f>
        <v/>
      </c>
    </row>
    <row r="459" ht="84" customHeight="1">
      <c r="A459" s="43" t="inlineStr">
        <is>
          <t>v2q-005-candidate-07</t>
        </is>
      </c>
      <c r="B459" s="43" t="inlineStr">
        <is>
          <t>v2q-005</t>
        </is>
      </c>
      <c r="C459" s="43" t="inlineStr">
        <is>
          <t>How many days of wage employment does MGNREGA guarantee a rural household in a financial year?</t>
        </is>
      </c>
      <c r="D459" s="43" t="inlineStr">
        <is>
          <t>MGNREGA guarantees at least 100 days of wage employment per financial year to a rural household whose adult members volunteer for unskilled work.</t>
        </is>
      </c>
      <c r="E459" s="43" t="inlineStr">
        <is>
          <t>pilot-v2-doc-ab-pmjay-0001-a632a7205efc</t>
        </is>
      </c>
      <c r="F459" s="43" t="inlineStr">
        <is>
          <t>Ayushman Bharat - Pradhan Mantri Jan Arogya Yojana</t>
        </is>
      </c>
      <c r="G459"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459" s="49" t="inlineStr">
        <is>
          <t>0</t>
        </is>
      </c>
      <c r="I459" s="49" t="str"/>
      <c r="J459" s="55">
        <f>INT((ROW()-2)/50)+1</f>
        <v/>
      </c>
      <c r="K459" s="55">
        <f>IF(H459="","Pending",IF(OR(H459="0",H459="1",H459="2",H459="U"),"Complete","Invalid"))</f>
        <v/>
      </c>
    </row>
    <row r="460" ht="84" customHeight="1">
      <c r="A460" s="43" t="inlineStr">
        <is>
          <t>v2q-006-candidate-25</t>
        </is>
      </c>
      <c r="B460" s="43" t="inlineStr">
        <is>
          <t>v2q-006</t>
        </is>
      </c>
      <c r="C460" s="43" t="inlineStr">
        <is>
          <t>What annual hospitalisation cover does AB-PMJAY provide per eligible family?</t>
        </is>
      </c>
      <c r="D460" s="43" t="inlineStr">
        <is>
          <t>AB-PMJAY provides cashless hospitalisation cover of ₹5 lakh per family per year for secondary and tertiary healthcare.</t>
        </is>
      </c>
      <c r="E460" s="43" t="inlineStr">
        <is>
          <t>pilot-v2-doc-pm-gkay-0000-c29b96f46a80</t>
        </is>
      </c>
      <c r="F460" s="43" t="inlineStr">
        <is>
          <t>Pradhan Mantri Garib Kalyan Anna Yojana</t>
        </is>
      </c>
      <c r="G460"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460" s="49" t="inlineStr">
        <is>
          <t>0</t>
        </is>
      </c>
      <c r="I460" s="49" t="str"/>
      <c r="J460" s="55">
        <f>INT((ROW()-2)/50)+1</f>
        <v/>
      </c>
      <c r="K460" s="55">
        <f>IF(H460="","Pending",IF(OR(H460="0",H460="1",H460="2",H460="U"),"Complete","Invalid"))</f>
        <v/>
      </c>
    </row>
    <row r="461" ht="84" customHeight="1">
      <c r="A461" s="43" t="inlineStr">
        <is>
          <t>v2q-022-candidate-07</t>
        </is>
      </c>
      <c r="B461" s="43" t="inlineStr">
        <is>
          <t>v2q-022</t>
        </is>
      </c>
      <c r="C461" s="43" t="inlineStr">
        <is>
          <t>Which finance programme relies on Member Lending Institutions to extend assistance to non-corporate micro-enterprises?</t>
        </is>
      </c>
      <c r="D461" s="43" t="inlineStr">
        <is>
          <t>Eligible Member Lending Institutions extend PMMY financial assistance and provide the scheme’s micro-loans to qualifying micro and small enterprises.</t>
        </is>
      </c>
      <c r="E461" s="43" t="inlineStr">
        <is>
          <t>pilot-v2-doc-pmegp-0002-f67d4c730011</t>
        </is>
      </c>
      <c r="F461" s="43" t="inlineStr">
        <is>
          <t>Prime Minister's Employment Generation Programme</t>
        </is>
      </c>
      <c r="G461" s="43" t="inlineStr">
        <is>
          <t>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The maximum cost of the project/unit admissible for Margin Money subsidy under the Manufacturing sector for upgradation is ₹10,00,00,000. The maximum subsidy would be ₹15,00,000 (₹20,00,000 for NER and Hill States). The maximum cost of the project/unit admissible for Margin Money subsidy under the Business/Service sector for upgradation is ₹25,00,000. The maximum subsidy would be ₹3,75,000 (₹5,00,000 for NER and Hill States). The balance amount (excluding the own contribution)of the total project cost will be provided by Banks. If the total project cost exceeds ₹10,00,00,000 or ₹25,00,000 for Manufacturing and Service/Business sector respectively, the balance amount may be provided by banks without any Government subsidy..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t>
        </is>
      </c>
      <c r="H461" s="49" t="inlineStr">
        <is>
          <t>0</t>
        </is>
      </c>
      <c r="I461" s="49" t="str"/>
      <c r="J461" s="55">
        <f>INT((ROW()-2)/50)+1</f>
        <v/>
      </c>
      <c r="K461" s="55">
        <f>IF(H461="","Pending",IF(OR(H461="0",H461="1",H461="2",H461="U"),"Complete","Invalid"))</f>
        <v/>
      </c>
    </row>
    <row r="462" ht="84" customHeight="1">
      <c r="A462" s="43" t="inlineStr">
        <is>
          <t>v2q-029-candidate-10</t>
        </is>
      </c>
      <c r="B462" s="43" t="inlineStr">
        <is>
          <t>v2q-029</t>
        </is>
      </c>
      <c r="C462" s="43" t="inlineStr">
        <is>
          <t>What migrant-focused facility distinguishes Ujjwala 2.0, and what clean-cooking transition was established by its predecessor programme?</t>
        </is>
      </c>
      <c r="D462" s="43" t="inlineStr">
        <is>
          <t>Ujjwala 2.0 added 1.6 crore LPG connections with a special facility for migrant households. Its predecessor, Pradhan Mantri Ujjwala Yojana, sought to replace traditional cooking fuels with LPG access for rural and deprived households.</t>
        </is>
      </c>
      <c r="E462" s="43" t="inlineStr">
        <is>
          <t>pilot-v2-doc-pmkvy-stt-0000-546ef459ea0e</t>
        </is>
      </c>
      <c r="F462" s="43" t="inlineStr">
        <is>
          <t>Pradhan Mantri Kaushal Vikas Yojana 4.0 - Short-Term Training</t>
        </is>
      </c>
      <c r="G462" s="43" t="inlineStr">
        <is>
          <t>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is>
      </c>
      <c r="H462" s="49" t="inlineStr">
        <is>
          <t>0</t>
        </is>
      </c>
      <c r="I462" s="49" t="str"/>
      <c r="J462" s="55">
        <f>INT((ROW()-2)/50)+1</f>
        <v/>
      </c>
      <c r="K462" s="55">
        <f>IF(H462="","Pending",IF(OR(H462="0",H462="1",H462="2",H462="U"),"Complete","Invalid"))</f>
        <v/>
      </c>
    </row>
    <row r="463" ht="84" customHeight="1">
      <c r="A463" s="43" t="inlineStr">
        <is>
          <t>v2q-032-candidate-08</t>
        </is>
      </c>
      <c r="B463" s="43" t="inlineStr">
        <is>
          <t>v2q-032</t>
        </is>
      </c>
      <c r="C463" s="43" t="inlineStr">
        <is>
          <t>How do three farmer programmes separately address crop loss, current income needs, and old-age income security?</t>
        </is>
      </c>
      <c r="D463" s="43" t="inlineStr">
        <is>
          <t>PMFBY insures crops against specified losses; PM-KISAN transfers ₹6,000 annually to eligible farmer families; PM-KMY provides eligible small and marginal farmers an assured ₹3,000 monthly pension from age 60.</t>
        </is>
      </c>
      <c r="E463" s="43" t="inlineStr">
        <is>
          <t>pilot-v2-doc-pmfby-0002-5c46025b568d</t>
        </is>
      </c>
      <c r="F463" s="43" t="inlineStr">
        <is>
          <t>Pradhan Mantri Fasal Bima Yojna (PMFBY)</t>
        </is>
      </c>
      <c r="G463" s="43" t="inlineStr">
        <is>
          <t>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is>
      </c>
      <c r="H463" s="49" t="inlineStr">
        <is>
          <t>2</t>
        </is>
      </c>
      <c r="I463" s="49" t="str"/>
      <c r="J463" s="55">
        <f>INT((ROW()-2)/50)+1</f>
        <v/>
      </c>
      <c r="K463" s="55">
        <f>IF(H463="","Pending",IF(OR(H463="0",H463="1",H463="2",H463="U"),"Complete","Invalid"))</f>
        <v/>
      </c>
    </row>
    <row r="464" ht="84" customHeight="1">
      <c r="A464" s="43" t="inlineStr">
        <is>
          <t>v2q-014-candidate-22</t>
        </is>
      </c>
      <c r="B464" s="43" t="inlineStr">
        <is>
          <t>v2q-014</t>
        </is>
      </c>
      <c r="C464" s="43" t="inlineStr">
        <is>
          <t>Under the national ration programme, what monthly cereal allocation goes to families in the poorest entitlement tier and to each person in the priority tier?</t>
        </is>
      </c>
      <c r="D464" s="43" t="inlineStr">
        <is>
          <t>AAY families receive 35 kilograms per family per month, while PHH beneficiaries receive 5 kilograms per person per month.</t>
        </is>
      </c>
      <c r="E464" s="43" t="inlineStr">
        <is>
          <t>pilot-v2-doc-apy-0000-c43dd88d7899</t>
        </is>
      </c>
      <c r="F464" s="43" t="inlineStr">
        <is>
          <t>Atal Pension Yojana</t>
        </is>
      </c>
      <c r="G464"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464" s="49" t="inlineStr">
        <is>
          <t>0</t>
        </is>
      </c>
      <c r="I464" s="49" t="str"/>
      <c r="J464" s="55">
        <f>INT((ROW()-2)/50)+1</f>
        <v/>
      </c>
      <c r="K464" s="55">
        <f>IF(H464="","Pending",IF(OR(H464="0",H464="1",H464="2",H464="U"),"Complete","Invalid"))</f>
        <v/>
      </c>
    </row>
    <row r="465" ht="84" customHeight="1">
      <c r="A465" s="43" t="inlineStr">
        <is>
          <t>v2q-003-candidate-05</t>
        </is>
      </c>
      <c r="B465" s="43" t="inlineStr">
        <is>
          <t>v2q-003</t>
        </is>
      </c>
      <c r="C465" s="43" t="inlineStr">
        <is>
          <t>What revised overdraft limit and RuPay accidental-insurance cover are stated for PMJDY?</t>
        </is>
      </c>
      <c r="D465" s="43" t="inlineStr">
        <is>
          <t>PMJDY states a revised overdraft limit of ₹10,000 and accidental-insurance cover of ₹2 lakh for RuPay cardholders.</t>
        </is>
      </c>
      <c r="E465" s="43" t="inlineStr">
        <is>
          <t>pilot-v2-doc-pmkvy-rpl-0000-c98f315c1481</t>
        </is>
      </c>
      <c r="F465" s="43" t="inlineStr">
        <is>
          <t>Pradhan Mantri Kaushal Vikas Yojana 4.0 - Recognition Of Prior Learning</t>
        </is>
      </c>
      <c r="G465" s="43" t="inlineStr">
        <is>
          <t>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is>
      </c>
      <c r="H465" s="49" t="inlineStr">
        <is>
          <t>0</t>
        </is>
      </c>
      <c r="I465" s="49" t="str"/>
      <c r="J465" s="55">
        <f>INT((ROW()-2)/50)+1</f>
        <v/>
      </c>
      <c r="K465" s="55">
        <f>IF(H465="","Pending",IF(OR(H465="0",H465="1",H465="2",H465="U"),"Complete","Invalid"))</f>
        <v/>
      </c>
    </row>
    <row r="466" ht="84" customHeight="1">
      <c r="A466" s="43" t="inlineStr">
        <is>
          <t>v2q-026-candidate-02</t>
        </is>
      </c>
      <c r="B466" s="43" t="inlineStr">
        <is>
          <t>v2q-026</t>
        </is>
      </c>
      <c r="C466" s="43" t="inlineStr">
        <is>
          <t>What employment guarantee does MGNREGA provide, and which other programme from its ministry supplies pucca houses to rural households?</t>
        </is>
      </c>
      <c r="D466" s="43" t="inlineStr">
        <is>
          <t>MGNREGA guarantees at least 100 days of wage employment to qualifying rural households. PMAY-G, under the same Ministry of Rural Development, supports pucca houses with basic amenities for eligible rural households.</t>
        </is>
      </c>
      <c r="E466" s="43" t="inlineStr">
        <is>
          <t>pilot-v2-doc-pmuy2-0000-95fa2d4e3b3f</t>
        </is>
      </c>
      <c r="F466" s="43" t="inlineStr">
        <is>
          <t>Pradhan Mantri Ujjwala Yojana 2.0</t>
        </is>
      </c>
      <c r="G466"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466" s="49" t="inlineStr">
        <is>
          <t>0</t>
        </is>
      </c>
      <c r="I466" s="49" t="str"/>
      <c r="J466" s="55">
        <f>INT((ROW()-2)/50)+1</f>
        <v/>
      </c>
      <c r="K466" s="55">
        <f>IF(H466="","Pending",IF(OR(H466="0",H466="1",H466="2",H466="U"),"Complete","Invalid"))</f>
        <v/>
      </c>
    </row>
    <row r="467" ht="84" customHeight="1">
      <c r="A467" s="43" t="inlineStr">
        <is>
          <t>v2q-016-candidate-08</t>
        </is>
      </c>
      <c r="B467" s="43" t="inlineStr">
        <is>
          <t>v2q-016</t>
        </is>
      </c>
      <c r="C467" s="43" t="inlineStr">
        <is>
          <t>How can an experienced worker obtain formal recognition for skills learned outside a training course?</t>
        </is>
      </c>
      <c r="D467" s="43" t="inlineStr">
        <is>
          <t>PMKVY 4.0 Recognition of Prior Learning assesses, upskills, and certifies candidates who already possess relevant skills or prior-learning experience.</t>
        </is>
      </c>
      <c r="E467" s="43" t="inlineStr">
        <is>
          <t>pilot-v2-doc-pmkvy-stt-0002-9b8eeae9f924</t>
        </is>
      </c>
      <c r="F467" s="43" t="inlineStr">
        <is>
          <t>Pradhan Mantri Kaushal Vikas Yojana 4.0 - Short-Term Training</t>
        </is>
      </c>
      <c r="G467" s="43" t="inlineStr">
        <is>
          <t>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 Grade A (85% and above), Grade B (70% to less than 85%). More than 70% biometric (AEBAS) attendance is required for each candidate to appear in the assessment. The indicative average per-candidate cost is ₹9,540 for a 300-hour STT course (including Skill Hubs) and ₹13,724 for a 450-hour STT course, derived considering a base training cost of ₹27.89 per hour.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The applicant should be an Indian national. The applicant should possess a valid Aadhaar. The applicant should be in the age group of 15 to 45 years. The applicant should fulfil the eligibility criteria of the respective job role, as defined in the course curriculum of the job 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t>
        </is>
      </c>
      <c r="H467" s="49" t="inlineStr">
        <is>
          <t>1</t>
        </is>
      </c>
      <c r="I467" s="49" t="str"/>
      <c r="J467" s="55">
        <f>INT((ROW()-2)/50)+1</f>
        <v/>
      </c>
      <c r="K467" s="55">
        <f>IF(H467="","Pending",IF(OR(H467="0",H467="1",H467="2",H467="U"),"Complete","Invalid"))</f>
        <v/>
      </c>
    </row>
    <row r="468" ht="84" customHeight="1">
      <c r="A468" s="43" t="inlineStr">
        <is>
          <t>v2q-012-candidate-11</t>
        </is>
      </c>
      <c r="B468" s="43" t="inlineStr">
        <is>
          <t>v2q-012</t>
        </is>
      </c>
      <c r="C468" s="43" t="inlineStr">
        <is>
          <t>What does PM SVANidhi stand for, and who is its intended beneficiary group?</t>
        </is>
      </c>
      <c r="D468" s="43" t="inlineStr">
        <is>
          <t>PM SVANidhi stands for PM Street Vendor’s AtmaNirbhar Nidhi and supports street vendors through working-capital and related incentives.</t>
        </is>
      </c>
      <c r="E468" s="43" t="inlineStr">
        <is>
          <t>pilot-v2-doc-pm-janman-0000-69ac65d10edc</t>
        </is>
      </c>
      <c r="F468" s="43" t="inlineStr">
        <is>
          <t>PM Janjati Adivasi Nyaya Maha Abhiyan (PM JANMAN)</t>
        </is>
      </c>
      <c r="G468"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468" s="49" t="inlineStr">
        <is>
          <t>0</t>
        </is>
      </c>
      <c r="I468" s="49" t="str"/>
      <c r="J468" s="55">
        <f>INT((ROW()-2)/50)+1</f>
        <v/>
      </c>
      <c r="K468" s="55">
        <f>IF(H468="","Pending",IF(OR(H468="0",H468="1",H468="2",H468="U"),"Complete","Invalid"))</f>
        <v/>
      </c>
    </row>
    <row r="469" ht="84" customHeight="1">
      <c r="A469" s="43" t="inlineStr">
        <is>
          <t>v2q-034-candidate-11</t>
        </is>
      </c>
      <c r="B469" s="43" t="inlineStr">
        <is>
          <t>v2q-034</t>
        </is>
      </c>
      <c r="C469" s="43" t="inlineStr">
        <is>
          <t>How do three programmes meet distinct household needs for rural housing, clean cooking, and food security?</t>
        </is>
      </c>
      <c r="D469" s="43" t="inlineStr">
        <is>
          <t>PMAY-G supports pucca rural housing with basic amenities; PMUY provides LPG access to deprived households replacing traditional cooking fuels; PMGKAY provides free foodgrains to eligible AAY and PHH ration-card holders.</t>
        </is>
      </c>
      <c r="E469" s="43" t="inlineStr">
        <is>
          <t>pilot-v2-doc-pmay-g-0003-2769023a3f73</t>
        </is>
      </c>
      <c r="F469" s="43" t="inlineStr">
        <is>
          <t>Pradhan Mantri Awaas Yojana - Gramin</t>
        </is>
      </c>
      <c r="G469"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469" s="49" t="inlineStr">
        <is>
          <t>1</t>
        </is>
      </c>
      <c r="I469" s="49" t="str"/>
      <c r="J469" s="55">
        <f>INT((ROW()-2)/50)+1</f>
        <v/>
      </c>
      <c r="K469" s="55">
        <f>IF(H469="","Pending",IF(OR(H469="0",H469="1",H469="2",H469="U"),"Complete","Invalid"))</f>
        <v/>
      </c>
    </row>
    <row r="470" ht="84" customHeight="1">
      <c r="A470" s="43" t="inlineStr">
        <is>
          <t>v2q-002-candidate-13</t>
        </is>
      </c>
      <c r="B470" s="43" t="inlineStr">
        <is>
          <t>v2q-002</t>
        </is>
      </c>
      <c r="C470" s="43" t="inlineStr">
        <is>
          <t>What maximum premium rates can farmers pay under PMFBY for Kharif, Rabi, and annual commercial or horticultural crops?</t>
        </is>
      </c>
      <c r="D470" s="43" t="inlineStr">
        <is>
          <t>Farmers pay at most 2% for Kharif food and oilseed crops, 1.5% for Rabi food and oilseed crops, and 5% for annual commercial or horticultural crops.</t>
        </is>
      </c>
      <c r="E470" s="43" t="inlineStr">
        <is>
          <t>pilot-v2-doc-pm-kmy-guidelines-0004-79b3bf95bb65</t>
        </is>
      </c>
      <c r="F470" s="43" t="inlineStr">
        <is>
          <t>Pradhan Mantri Kisan Maan Dhan Yojana Operational Guidelines</t>
        </is>
      </c>
      <c r="G470"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470" s="49" t="inlineStr">
        <is>
          <t>0</t>
        </is>
      </c>
      <c r="I470" s="49" t="str"/>
      <c r="J470" s="55">
        <f>INT((ROW()-2)/50)+1</f>
        <v/>
      </c>
      <c r="K470" s="55">
        <f>IF(H470="","Pending",IF(OR(H470="0",H470="1",H470="2",H470="U"),"Complete","Invalid"))</f>
        <v/>
      </c>
    </row>
    <row r="471" ht="84" customHeight="1">
      <c r="A471" s="43" t="inlineStr">
        <is>
          <t>v2q-020-candidate-09</t>
        </is>
      </c>
      <c r="B471" s="43" t="inlineStr">
        <is>
          <t>v2q-020</t>
        </is>
      </c>
      <c r="C471" s="43" t="inlineStr">
        <is>
          <t>How do NSDC and SPIAs divide responsibility in the Special Projects arm of the national skill mission?</t>
        </is>
      </c>
      <c r="D471" s="43" t="inlineStr">
        <is>
          <t>NSDC supports the ministry’s implementation, while Special Projects Implementing Agencies deliver the projects on the ground.</t>
        </is>
      </c>
      <c r="E471" s="43" t="inlineStr">
        <is>
          <t>pilot-v2-doc-pmkvy-sp-0002-dc58b95bab9b</t>
        </is>
      </c>
      <c r="F471" s="43" t="inlineStr">
        <is>
          <t>Pradhan Mantri Kaushal Vikas Yojana 4.0- Special Projects</t>
        </is>
      </c>
      <c r="G471" s="43" t="inlineStr">
        <is>
          <t>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is>
      </c>
      <c r="H471" s="49" t="inlineStr">
        <is>
          <t>1</t>
        </is>
      </c>
      <c r="I471" s="49" t="str"/>
      <c r="J471" s="55">
        <f>INT((ROW()-2)/50)+1</f>
        <v/>
      </c>
      <c r="K471" s="55">
        <f>IF(H471="","Pending",IF(OR(H471="0",H471="1",H471="2",H471="U"),"Complete","Invalid"))</f>
        <v/>
      </c>
    </row>
    <row r="472" ht="84" customHeight="1">
      <c r="A472" s="43" t="inlineStr">
        <is>
          <t>v2q-010-candidate-03</t>
        </is>
      </c>
      <c r="B472" s="43" t="inlineStr">
        <is>
          <t>v2q-010</t>
        </is>
      </c>
      <c r="C472" s="43" t="inlineStr">
        <is>
          <t>What is the full form of PM POSHAN, and what meal benefit does it provide?</t>
        </is>
      </c>
      <c r="D472" s="43" t="inlineStr">
        <is>
          <t>PM POSHAN means Prime Minister's Overarching Scheme for Holistic Nourishment and provides one hot cooked meal to children in government and government-aided schools.</t>
        </is>
      </c>
      <c r="E472" s="43" t="inlineStr">
        <is>
          <t>pilot-v2-doc-pm-poshan-0000-7be831685336</t>
        </is>
      </c>
      <c r="F472" s="43" t="inlineStr">
        <is>
          <t>PM POSHAN - Prime Minister's Overarching Scheme For Holistic Nourishment</t>
        </is>
      </c>
      <c r="G472" s="43" t="inlineStr">
        <is>
          <t>PM POSHAN - Prime Minister's Overarching Scheme For Holistic Nourishment. Ministry of Education. Department of School Education and Literacy. Ministry Of Education. 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 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 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t>
        </is>
      </c>
      <c r="H472" s="49" t="inlineStr">
        <is>
          <t>2</t>
        </is>
      </c>
      <c r="I472" s="49" t="str"/>
      <c r="J472" s="55">
        <f>INT((ROW()-2)/50)+1</f>
        <v/>
      </c>
      <c r="K472" s="55">
        <f>IF(H472="","Pending",IF(OR(H472="0",H472="1",H472="2",H472="U"),"Complete","Invalid"))</f>
        <v/>
      </c>
    </row>
    <row r="473" ht="84" customHeight="1">
      <c r="A473" s="43" t="inlineStr">
        <is>
          <t>v2q-004-candidate-02</t>
        </is>
      </c>
      <c r="B473" s="43" t="inlineStr">
        <is>
          <t>v2q-004</t>
        </is>
      </c>
      <c r="C473" s="43" t="inlineStr">
        <is>
          <t>What is the maximum micro-loan amount stated for PMMY?</t>
        </is>
      </c>
      <c r="D473" s="43" t="inlineStr">
        <is>
          <t>PMMY facilitates micro-credit loans up to ₹20 lakh for eligible income-generating micro-enterprises.</t>
        </is>
      </c>
      <c r="E473" s="43" t="inlineStr">
        <is>
          <t>pilot-v2-doc-pmegp-0004-80f46cce6893</t>
        </is>
      </c>
      <c r="F473" s="43" t="inlineStr">
        <is>
          <t>Prime Minister's Employment Generation Programme</t>
        </is>
      </c>
      <c r="G473" s="43" t="inlineStr">
        <is>
          <t>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is>
      </c>
      <c r="H473" s="49" t="inlineStr">
        <is>
          <t>0</t>
        </is>
      </c>
      <c r="I473" s="49" t="str"/>
      <c r="J473" s="55">
        <f>INT((ROW()-2)/50)+1</f>
        <v/>
      </c>
      <c r="K473" s="55">
        <f>IF(H473="","Pending",IF(OR(H473="0",H473="1",H473="2",H473="U"),"Complete","Invalid"))</f>
        <v/>
      </c>
    </row>
    <row r="474" ht="84" customHeight="1">
      <c r="A474" s="43" t="inlineStr">
        <is>
          <t>v2q-023-candidate-03</t>
        </is>
      </c>
      <c r="B474" s="43" t="inlineStr">
        <is>
          <t>v2q-023</t>
        </is>
      </c>
      <c r="C474" s="43" t="inlineStr">
        <is>
          <t>What role does a Gram Panchayat play when a household registers for MGNREGA?</t>
        </is>
      </c>
      <c r="D474" s="43" t="inlineStr">
        <is>
          <t>A household may apply through its local Gram Panchayat, which verifies residence, household identity, and adult membership details.</t>
        </is>
      </c>
      <c r="E474" s="43" t="inlineStr">
        <is>
          <t>pilot-v2-doc-pmjdy-0000-8b241ec39723</t>
        </is>
      </c>
      <c r="F474" s="43" t="inlineStr">
        <is>
          <t>Pradhan Mantri Jan Dhan Yojana</t>
        </is>
      </c>
      <c r="G474"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474" s="49" t="inlineStr">
        <is>
          <t>0</t>
        </is>
      </c>
      <c r="I474" s="49" t="str"/>
      <c r="J474" s="55">
        <f>INT((ROW()-2)/50)+1</f>
        <v/>
      </c>
      <c r="K474" s="55">
        <f>IF(H474="","Pending",IF(OR(H474="0",H474="1",H474="2",H474="U"),"Complete","Invalid"))</f>
        <v/>
      </c>
    </row>
    <row r="475" ht="84" customHeight="1">
      <c r="A475" s="43" t="inlineStr">
        <is>
          <t>v2q-008-candidate-24</t>
        </is>
      </c>
      <c r="B475" s="43" t="inlineStr">
        <is>
          <t>v2q-008</t>
        </is>
      </c>
      <c r="C475" s="43" t="inlineStr">
        <is>
          <t>Which accident-insurance programme is abbreviated PMSBY, and which outcomes trigger its cover?</t>
        </is>
      </c>
      <c r="D475" s="43" t="inlineStr">
        <is>
          <t>PMSBY stands for Pradhan Mantri Suraksha Bima Yojana and covers accidental death and disability.</t>
        </is>
      </c>
      <c r="E475" s="43" t="inlineStr">
        <is>
          <t>pilot-v2-doc-pm-janman-0000-69ac65d10edc</t>
        </is>
      </c>
      <c r="F475" s="43" t="inlineStr">
        <is>
          <t>PM Janjati Adivasi Nyaya Maha Abhiyan (PM JANMAN)</t>
        </is>
      </c>
      <c r="G475"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475" s="49" t="inlineStr">
        <is>
          <t>0</t>
        </is>
      </c>
      <c r="I475" s="49" t="str"/>
      <c r="J475" s="55">
        <f>INT((ROW()-2)/50)+1</f>
        <v/>
      </c>
      <c r="K475" s="55">
        <f>IF(H475="","Pending",IF(OR(H475="0",H475="1",H475="2",H475="U"),"Complete","Invalid"))</f>
        <v/>
      </c>
    </row>
    <row r="476" ht="84" customHeight="1">
      <c r="A476" s="43" t="inlineStr">
        <is>
          <t>v2q-008-candidate-12</t>
        </is>
      </c>
      <c r="B476" s="43" t="inlineStr">
        <is>
          <t>v2q-008</t>
        </is>
      </c>
      <c r="C476" s="43" t="inlineStr">
        <is>
          <t>Which accident-insurance programme is abbreviated PMSBY, and which outcomes trigger its cover?</t>
        </is>
      </c>
      <c r="D476" s="43" t="inlineStr">
        <is>
          <t>PMSBY stands for Pradhan Mantri Suraksha Bima Yojana and covers accidental death and disability.</t>
        </is>
      </c>
      <c r="E476" s="43" t="inlineStr">
        <is>
          <t>pilot-v2-doc-ab-pmjay-0001-a632a7205efc</t>
        </is>
      </c>
      <c r="F476" s="43" t="inlineStr">
        <is>
          <t>Ayushman Bharat - Pradhan Mantri Jan Arogya Yojana</t>
        </is>
      </c>
      <c r="G476"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476" s="49" t="inlineStr">
        <is>
          <t>0</t>
        </is>
      </c>
      <c r="I476" s="49" t="str"/>
      <c r="J476" s="55">
        <f>INT((ROW()-2)/50)+1</f>
        <v/>
      </c>
      <c r="K476" s="55">
        <f>IF(H476="","Pending",IF(OR(H476="0",H476="1",H476="2",H476="U"),"Complete","Invalid"))</f>
        <v/>
      </c>
    </row>
    <row r="477" ht="84" customHeight="1">
      <c r="A477" s="43" t="inlineStr">
        <is>
          <t>v2q-008-candidate-03</t>
        </is>
      </c>
      <c r="B477" s="43" t="inlineStr">
        <is>
          <t>v2q-008</t>
        </is>
      </c>
      <c r="C477" s="43" t="inlineStr">
        <is>
          <t>Which accident-insurance programme is abbreviated PMSBY, and which outcomes trigger its cover?</t>
        </is>
      </c>
      <c r="D477" s="43" t="inlineStr">
        <is>
          <t>PMSBY stands for Pradhan Mantri Suraksha Bima Yojana and covers accidental death and disability.</t>
        </is>
      </c>
      <c r="E477" s="43" t="inlineStr">
        <is>
          <t>pilot-v2-doc-ab-pmjay-0000-94c82a474579</t>
        </is>
      </c>
      <c r="F477" s="43" t="inlineStr">
        <is>
          <t>Ayushman Bharat - Pradhan Mantri Jan Arogya Yojana</t>
        </is>
      </c>
      <c r="G477"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477" s="49" t="inlineStr">
        <is>
          <t>0</t>
        </is>
      </c>
      <c r="I477" s="49" t="str"/>
      <c r="J477" s="55">
        <f>INT((ROW()-2)/50)+1</f>
        <v/>
      </c>
      <c r="K477" s="55">
        <f>IF(H477="","Pending",IF(OR(H477="0",H477="1",H477="2",H477="U"),"Complete","Invalid"))</f>
        <v/>
      </c>
    </row>
    <row r="478" ht="84" customHeight="1">
      <c r="A478" s="43" t="inlineStr">
        <is>
          <t>v2q-012-candidate-10</t>
        </is>
      </c>
      <c r="B478" s="43" t="inlineStr">
        <is>
          <t>v2q-012</t>
        </is>
      </c>
      <c r="C478" s="43" t="inlineStr">
        <is>
          <t>What does PM SVANidhi stand for, and who is its intended beneficiary group?</t>
        </is>
      </c>
      <c r="D478" s="43" t="inlineStr">
        <is>
          <t>PM SVANidhi stands for PM Street Vendor’s AtmaNirbhar Nidhi and supports street vendors through working-capital and related incentives.</t>
        </is>
      </c>
      <c r="E478" s="43" t="inlineStr">
        <is>
          <t>pilot-v2-doc-pm-kisan-guidelines-0001-5ad8f250b7e2</t>
        </is>
      </c>
      <c r="F478" s="43" t="inlineStr">
        <is>
          <t>PM-KISAN Operational Guidelines</t>
        </is>
      </c>
      <c r="G478"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478" s="49" t="inlineStr">
        <is>
          <t>0</t>
        </is>
      </c>
      <c r="I478" s="49" t="str"/>
      <c r="J478" s="55">
        <f>INT((ROW()-2)/50)+1</f>
        <v/>
      </c>
      <c r="K478" s="55">
        <f>IF(H478="","Pending",IF(OR(H478="0",H478="1",H478="2",H478="U"),"Complete","Invalid"))</f>
        <v/>
      </c>
    </row>
    <row r="479" ht="84" customHeight="1">
      <c r="A479" s="43" t="inlineStr">
        <is>
          <t>v2q-019-candidate-01</t>
        </is>
      </c>
      <c r="B479" s="43" t="inlineStr">
        <is>
          <t>v2q-019</t>
        </is>
      </c>
      <c r="C479" s="43" t="inlineStr">
        <is>
          <t>What role does the Ministry of Petroleum and Natural Gas have in Ujjwala 2.0?</t>
        </is>
      </c>
      <c r="D479" s="43" t="inlineStr">
        <is>
          <t>The ministry introduced Ujjwala 2.0 to provide LPG connections and promote clean cooking fuel among poor, rural, and deprived households.</t>
        </is>
      </c>
      <c r="E479" s="43" t="inlineStr">
        <is>
          <t>pilot-v2-doc-pmuy2-0001-065bd619e9c6</t>
        </is>
      </c>
      <c r="F479" s="43" t="inlineStr">
        <is>
          <t>Pradhan Mantri Ujjwala Yojana 2.0</t>
        </is>
      </c>
      <c r="G479" s="43" t="inlineStr">
        <is>
          <t>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is>
      </c>
      <c r="H479" s="49" t="inlineStr">
        <is>
          <t>1</t>
        </is>
      </c>
      <c r="I479" s="49" t="str"/>
      <c r="J479" s="55">
        <f>INT((ROW()-2)/50)+1</f>
        <v/>
      </c>
      <c r="K479" s="55">
        <f>IF(H479="","Pending",IF(OR(H479="0",H479="1",H479="2",H479="U"),"Complete","Invalid"))</f>
        <v/>
      </c>
    </row>
    <row r="480" ht="84" customHeight="1">
      <c r="A480" s="43" t="inlineStr">
        <is>
          <t>v2q-031-candidate-03</t>
        </is>
      </c>
      <c r="B480" s="43" t="inlineStr">
        <is>
          <t>v2q-031</t>
        </is>
      </c>
      <c r="C480" s="43" t="inlineStr">
        <is>
          <t>How do three finance-sector programmes combine basic banking, life insurance, and accident insurance?</t>
        </is>
      </c>
      <c r="D480" s="43" t="inlineStr">
        <is>
          <t>PMJDY provides universal banking and access to financial services; PMJJBY supplies life cover for death from any cause; PMSBY supplies accidental-death and disability cover.</t>
        </is>
      </c>
      <c r="E480" s="43" t="inlineStr">
        <is>
          <t>pilot-v2-doc-pmegp-0000-7b958e1ec4b0</t>
        </is>
      </c>
      <c r="F480" s="43" t="inlineStr">
        <is>
          <t>Prime Minister's Employment Generation Programme</t>
        </is>
      </c>
      <c r="G480"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480" s="49" t="inlineStr">
        <is>
          <t>0</t>
        </is>
      </c>
      <c r="I480" s="49" t="str"/>
      <c r="J480" s="55">
        <f>INT((ROW()-2)/50)+1</f>
        <v/>
      </c>
      <c r="K480" s="55">
        <f>IF(H480="","Pending",IF(OR(H480="0",H480="1",H480="2",H480="U"),"Complete","Invalid"))</f>
        <v/>
      </c>
    </row>
    <row r="481" ht="84" customHeight="1">
      <c r="A481" s="43" t="inlineStr">
        <is>
          <t>v2q-034-candidate-19</t>
        </is>
      </c>
      <c r="B481" s="43" t="inlineStr">
        <is>
          <t>v2q-034</t>
        </is>
      </c>
      <c r="C481" s="43" t="inlineStr">
        <is>
          <t>How do three programmes meet distinct household needs for rural housing, clean cooking, and food security?</t>
        </is>
      </c>
      <c r="D481" s="43" t="inlineStr">
        <is>
          <t>PMAY-G supports pucca rural housing with basic amenities; PMUY provides LPG access to deprived households replacing traditional cooking fuels; PMGKAY provides free foodgrains to eligible AAY and PHH ration-card holders.</t>
        </is>
      </c>
      <c r="E481" s="43" t="inlineStr">
        <is>
          <t>pilot-v2-doc-pm-poshan-0000-7be831685336</t>
        </is>
      </c>
      <c r="F481" s="43" t="inlineStr">
        <is>
          <t>PM POSHAN - Prime Minister's Overarching Scheme For Holistic Nourishment</t>
        </is>
      </c>
      <c r="G481" s="43" t="inlineStr">
        <is>
          <t>PM POSHAN - Prime Minister's Overarching Scheme For Holistic Nourishment. Ministry of Education. Department of School Education and Literacy. Ministry Of Education. 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 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 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t>
        </is>
      </c>
      <c r="H481" s="49" t="inlineStr">
        <is>
          <t>0</t>
        </is>
      </c>
      <c r="I481" s="49" t="str"/>
      <c r="J481" s="55">
        <f>INT((ROW()-2)/50)+1</f>
        <v/>
      </c>
      <c r="K481" s="55">
        <f>IF(H481="","Pending",IF(OR(H481="0",H481="1",H481="2",H481="U"),"Complete","Invalid"))</f>
        <v/>
      </c>
    </row>
    <row r="482" ht="84" customHeight="1">
      <c r="A482" s="43" t="inlineStr">
        <is>
          <t>v2q-016-candidate-10</t>
        </is>
      </c>
      <c r="B482" s="43" t="inlineStr">
        <is>
          <t>v2q-016</t>
        </is>
      </c>
      <c r="C482" s="43" t="inlineStr">
        <is>
          <t>How can an experienced worker obtain formal recognition for skills learned outside a training course?</t>
        </is>
      </c>
      <c r="D482" s="43" t="inlineStr">
        <is>
          <t>PMKVY 4.0 Recognition of Prior Learning assesses, upskills, and certifies candidates who already possess relevant skills or prior-learning experience.</t>
        </is>
      </c>
      <c r="E482" s="43" t="inlineStr">
        <is>
          <t>pilot-v2-doc-pmkvy-rpl-0003-9425f5b8529a</t>
        </is>
      </c>
      <c r="F482" s="43" t="inlineStr">
        <is>
          <t>Pradhan Mantri Kaushal Vikas Yojana 4.0 - Recognition Of Prior Learning</t>
        </is>
      </c>
      <c r="G482" s="43" t="inlineStr">
        <is>
          <t>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is>
      </c>
      <c r="H482" s="49" t="inlineStr">
        <is>
          <t>2</t>
        </is>
      </c>
      <c r="I482" s="49" t="str"/>
      <c r="J482" s="55">
        <f>INT((ROW()-2)/50)+1</f>
        <v/>
      </c>
      <c r="K482" s="55">
        <f>IF(H482="","Pending",IF(OR(H482="0",H482="1",H482="2",H482="U"),"Complete","Invalid"))</f>
        <v/>
      </c>
    </row>
    <row r="483" ht="84" customHeight="1">
      <c r="A483" s="43" t="inlineStr">
        <is>
          <t>v2q-021-candidate-08</t>
        </is>
      </c>
      <c r="B483" s="43" t="inlineStr">
        <is>
          <t>v2q-021</t>
        </is>
      </c>
      <c r="C483" s="43" t="inlineStr">
        <is>
          <t>How do insurance companies and banks participate in PMFBY?</t>
        </is>
      </c>
      <c r="D483" s="43" t="inlineStr">
        <is>
          <t>PMFBY is implemented through a network of insurance companies and banks to provide crop-insurance protection to farmers.</t>
        </is>
      </c>
      <c r="E483" s="43" t="inlineStr">
        <is>
          <t>pilot-v2-doc-pmfby-0004-25f813969307</t>
        </is>
      </c>
      <c r="F483" s="43" t="inlineStr">
        <is>
          <t>Pradhan Mantri Fasal Bima Yojna (PMFBY)</t>
        </is>
      </c>
      <c r="G483" s="43" t="inlineStr">
        <is>
          <t>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‘Application Status’ option on the home page..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t>
        </is>
      </c>
      <c r="H483" s="49" t="inlineStr">
        <is>
          <t>1</t>
        </is>
      </c>
      <c r="I483" s="49" t="str"/>
      <c r="J483" s="55">
        <f>INT((ROW()-2)/50)+1</f>
        <v/>
      </c>
      <c r="K483" s="55">
        <f>IF(H483="","Pending",IF(OR(H483="0",H483="1",H483="2",H483="U"),"Complete","Invalid"))</f>
        <v/>
      </c>
    </row>
    <row r="484" ht="84" customHeight="1">
      <c r="A484" s="43" t="inlineStr">
        <is>
          <t>v2q-033-candidate-02</t>
        </is>
      </c>
      <c r="B484" s="43" t="inlineStr">
        <is>
          <t>v2q-033</t>
        </is>
      </c>
      <c r="C484" s="43" t="inlineStr">
        <is>
          <t>How do three programmes support micro-enterprises, new enterprise creation, and street-vendor livelihoods through different financial mechanisms?</t>
        </is>
      </c>
      <c r="D484" s="43" t="inlineStr">
        <is>
          <t>PMMY provides micro-credit to eligible micro-enterprises; PMEGP uses a credit-linked subsidy to establish new micro-enterprises; PM SVANidhi provides street vendors collateral-free working-capital loans, interest subsidy, and digital-payment incentives.</t>
        </is>
      </c>
      <c r="E484" s="43" t="inlineStr">
        <is>
          <t>pilot-v2-doc-pmegp-0003-43256e8e6645</t>
        </is>
      </c>
      <c r="F484" s="43" t="inlineStr">
        <is>
          <t>Prime Minister's Employment Generation Programme</t>
        </is>
      </c>
      <c r="G484"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484" s="49" t="inlineStr">
        <is>
          <t>2</t>
        </is>
      </c>
      <c r="I484" s="49" t="str"/>
      <c r="J484" s="55">
        <f>INT((ROW()-2)/50)+1</f>
        <v/>
      </c>
      <c r="K484" s="55">
        <f>IF(H484="","Pending",IF(OR(H484="0",H484="1",H484="2",H484="U"),"Complete","Invalid"))</f>
        <v/>
      </c>
    </row>
    <row r="485" ht="84" customHeight="1">
      <c r="A485" s="43" t="inlineStr">
        <is>
          <t>v2q-001-candidate-15</t>
        </is>
      </c>
      <c r="B485" s="43" t="inlineStr">
        <is>
          <t>v2q-001</t>
        </is>
      </c>
      <c r="C485" s="43" t="inlineStr">
        <is>
          <t>What is the minimum house size specified under PMAY-G?</t>
        </is>
      </c>
      <c r="D485" s="43" t="inlineStr">
        <is>
          <t>The minimum house size is 25 square metres, including a dedicated hygienic cooking area.</t>
        </is>
      </c>
      <c r="E485" s="43" t="inlineStr">
        <is>
          <t>pilot-v2-doc-ab-pmjay-0001-a632a7205efc</t>
        </is>
      </c>
      <c r="F485" s="43" t="inlineStr">
        <is>
          <t>Ayushman Bharat - Pradhan Mantri Jan Arogya Yojana</t>
        </is>
      </c>
      <c r="G485"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485" s="49" t="inlineStr">
        <is>
          <t>0</t>
        </is>
      </c>
      <c r="I485" s="49" t="str"/>
      <c r="J485" s="55">
        <f>INT((ROW()-2)/50)+1</f>
        <v/>
      </c>
      <c r="K485" s="55">
        <f>IF(H485="","Pending",IF(OR(H485="0",H485="1",H485="2",H485="U"),"Complete","Invalid"))</f>
        <v/>
      </c>
    </row>
    <row r="486" ht="84" customHeight="1">
      <c r="A486" s="43" t="inlineStr">
        <is>
          <t>v2q-027-candidate-09</t>
        </is>
      </c>
      <c r="B486" s="43" t="inlineStr">
        <is>
          <t>v2q-027</t>
        </is>
      </c>
      <c r="C486" s="43" t="inlineStr">
        <is>
          <t>What livelihood mechanism does PM SVANidhi offer street vendors, and which other programme from its ministry addresses housing shortages for eligible urban households?</t>
        </is>
      </c>
      <c r="D486" s="43" t="inlineStr">
        <is>
          <t>PM SVANidhi offers street vendors collateral-free working-capital loans, interest subsidy, and digital-payment incentives. PMAY-U, under the same Ministry of Housing and Urban Affairs, provides housing support for eligible urban households.</t>
        </is>
      </c>
      <c r="E486" s="43" t="inlineStr">
        <is>
          <t>pilot-v2-doc-pmay-u-0000-0b5e95b2690a</t>
        </is>
      </c>
      <c r="F486" s="43" t="inlineStr">
        <is>
          <t>Pradhan Mantri Awas Yojana - Urban</t>
        </is>
      </c>
      <c r="G486"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486" s="49" t="inlineStr">
        <is>
          <t>2</t>
        </is>
      </c>
      <c r="I486" s="49" t="str"/>
      <c r="J486" s="55">
        <f>INT((ROW()-2)/50)+1</f>
        <v/>
      </c>
      <c r="K486" s="55">
        <f>IF(H486="","Pending",IF(OR(H486="0",H486="1",H486="2",H486="U"),"Complete","Invalid"))</f>
        <v/>
      </c>
    </row>
    <row r="487" ht="84" customHeight="1">
      <c r="A487" s="43" t="inlineStr">
        <is>
          <t>v2q-015-candidate-01</t>
        </is>
      </c>
      <c r="B487" s="43" t="inlineStr">
        <is>
          <t>v2q-015</t>
        </is>
      </c>
      <c r="C487" s="43" t="inlineStr">
        <is>
          <t>Which initiative helps job-seekers and established craftspeople launch small businesses outside agriculture?</t>
        </is>
      </c>
      <c r="D487" s="43" t="inlineStr">
        <is>
          <t>The Prime Minister's Employment Generation Programme supports new micro-enterprises to create self-employment for traditional artisans, unemployed youth, and other eligible beneficiaries.</t>
        </is>
      </c>
      <c r="E487" s="43" t="inlineStr">
        <is>
          <t>pilot-v2-doc-pmegp-0000-7b958e1ec4b0</t>
        </is>
      </c>
      <c r="F487" s="43" t="inlineStr">
        <is>
          <t>Prime Minister's Employment Generation Programme</t>
        </is>
      </c>
      <c r="G487"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487" s="49" t="inlineStr">
        <is>
          <t>2</t>
        </is>
      </c>
      <c r="I487" s="49" t="str"/>
      <c r="J487" s="55">
        <f>INT((ROW()-2)/50)+1</f>
        <v/>
      </c>
      <c r="K487" s="55">
        <f>IF(H487="","Pending",IF(OR(H487="0",H487="1",H487="2",H487="U"),"Complete","Invalid"))</f>
        <v/>
      </c>
    </row>
    <row r="488" ht="84" customHeight="1">
      <c r="A488" s="43" t="inlineStr">
        <is>
          <t>v2q-012-candidate-19</t>
        </is>
      </c>
      <c r="B488" s="43" t="inlineStr">
        <is>
          <t>v2q-012</t>
        </is>
      </c>
      <c r="C488" s="43" t="inlineStr">
        <is>
          <t>What does PM SVANidhi stand for, and who is its intended beneficiary group?</t>
        </is>
      </c>
      <c r="D488" s="43" t="inlineStr">
        <is>
          <t>PM SVANidhi stands for PM Street Vendor’s AtmaNirbhar Nidhi and supports street vendors through working-capital and related incentives.</t>
        </is>
      </c>
      <c r="E488" s="43" t="inlineStr">
        <is>
          <t>pilot-v2-doc-pmay-g-0001-db2db8af1543</t>
        </is>
      </c>
      <c r="F488" s="43" t="inlineStr">
        <is>
          <t>Pradhan Mantri Awaas Yojana - Gramin</t>
        </is>
      </c>
      <c r="G488"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488" s="49" t="inlineStr">
        <is>
          <t>0</t>
        </is>
      </c>
      <c r="I488" s="49" t="str"/>
      <c r="J488" s="55">
        <f>INT((ROW()-2)/50)+1</f>
        <v/>
      </c>
      <c r="K488" s="55">
        <f>IF(H488="","Pending",IF(OR(H488="0",H488="1",H488="2",H488="U"),"Complete","Invalid"))</f>
        <v/>
      </c>
    </row>
    <row r="489" ht="84" customHeight="1">
      <c r="A489" s="43" t="inlineStr">
        <is>
          <t>v2q-034-candidate-06</t>
        </is>
      </c>
      <c r="B489" s="43" t="inlineStr">
        <is>
          <t>v2q-034</t>
        </is>
      </c>
      <c r="C489" s="43" t="inlineStr">
        <is>
          <t>How do three programmes meet distinct household needs for rural housing, clean cooking, and food security?</t>
        </is>
      </c>
      <c r="D489" s="43" t="inlineStr">
        <is>
          <t>PMAY-G supports pucca rural housing with basic amenities; PMUY provides LPG access to deprived households replacing traditional cooking fuels; PMGKAY provides free foodgrains to eligible AAY and PHH ration-card holders.</t>
        </is>
      </c>
      <c r="E489" s="43" t="inlineStr">
        <is>
          <t>pilot-v2-doc-pm-gkay-0001-ccd31e120258</t>
        </is>
      </c>
      <c r="F489" s="43" t="inlineStr">
        <is>
          <t>Pradhan Mantri Garib Kalyan Anna Yojana</t>
        </is>
      </c>
      <c r="G489"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489" s="49" t="inlineStr">
        <is>
          <t>2</t>
        </is>
      </c>
      <c r="I489" s="49" t="str"/>
      <c r="J489" s="55">
        <f>INT((ROW()-2)/50)+1</f>
        <v/>
      </c>
      <c r="K489" s="55">
        <f>IF(H489="","Pending",IF(OR(H489="0",H489="1",H489="2",H489="U"),"Complete","Invalid"))</f>
        <v/>
      </c>
    </row>
    <row r="490" ht="84" customHeight="1">
      <c r="A490" s="43" t="inlineStr">
        <is>
          <t>v2q-005-candidate-18</t>
        </is>
      </c>
      <c r="B490" s="43" t="inlineStr">
        <is>
          <t>v2q-005</t>
        </is>
      </c>
      <c r="C490" s="43" t="inlineStr">
        <is>
          <t>How many days of wage employment does MGNREGA guarantee a rural household in a financial year?</t>
        </is>
      </c>
      <c r="D490" s="43" t="inlineStr">
        <is>
          <t>MGNREGA guarantees at least 100 days of wage employment per financial year to a rural household whose adult members volunteer for unskilled work.</t>
        </is>
      </c>
      <c r="E490" s="43" t="inlineStr">
        <is>
          <t>pilot-v2-doc-ab-pmjay-0003-1242266bb260</t>
        </is>
      </c>
      <c r="F490" s="43" t="inlineStr">
        <is>
          <t>Ayushman Bharat - Pradhan Mantri Jan Arogya Yojana</t>
        </is>
      </c>
      <c r="G490"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490" s="49" t="inlineStr">
        <is>
          <t>0</t>
        </is>
      </c>
      <c r="I490" s="49" t="str"/>
      <c r="J490" s="55">
        <f>INT((ROW()-2)/50)+1</f>
        <v/>
      </c>
      <c r="K490" s="55">
        <f>IF(H490="","Pending",IF(OR(H490="0",H490="1",H490="2",H490="U"),"Complete","Invalid"))</f>
        <v/>
      </c>
    </row>
    <row r="491" ht="84" customHeight="1">
      <c r="A491" s="43" t="inlineStr">
        <is>
          <t>v2q-001-candidate-22</t>
        </is>
      </c>
      <c r="B491" s="43" t="inlineStr">
        <is>
          <t>v2q-001</t>
        </is>
      </c>
      <c r="C491" s="43" t="inlineStr">
        <is>
          <t>What is the minimum house size specified under PMAY-G?</t>
        </is>
      </c>
      <c r="D491" s="43" t="inlineStr">
        <is>
          <t>The minimum house size is 25 square metres, including a dedicated hygienic cooking area.</t>
        </is>
      </c>
      <c r="E491" s="43" t="inlineStr">
        <is>
          <t>pilot-v2-doc-ab-pmjay-0004-2e5074722cd7</t>
        </is>
      </c>
      <c r="F491" s="43" t="inlineStr">
        <is>
          <t>Ayushman Bharat - Pradhan Mantri Jan Arogya Yojana</t>
        </is>
      </c>
      <c r="G491" s="43" t="inlineStr">
        <is>
          <t>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H491" s="49" t="inlineStr">
        <is>
          <t>0</t>
        </is>
      </c>
      <c r="I491" s="49" t="str"/>
      <c r="J491" s="55">
        <f>INT((ROW()-2)/50)+1</f>
        <v/>
      </c>
      <c r="K491" s="55">
        <f>IF(H491="","Pending",IF(OR(H491="0",H491="1",H491="2",H491="U"),"Complete","Invalid"))</f>
        <v/>
      </c>
    </row>
    <row r="492" ht="84" customHeight="1">
      <c r="A492" s="43" t="inlineStr">
        <is>
          <t>v2q-012-candidate-05</t>
        </is>
      </c>
      <c r="B492" s="43" t="inlineStr">
        <is>
          <t>v2q-012</t>
        </is>
      </c>
      <c r="C492" s="43" t="inlineStr">
        <is>
          <t>What does PM SVANidhi stand for, and who is its intended beneficiary group?</t>
        </is>
      </c>
      <c r="D492" s="43" t="inlineStr">
        <is>
          <t>PM SVANidhi stands for PM Street Vendor’s AtmaNirbhar Nidhi and supports street vendors through working-capital and related incentives.</t>
        </is>
      </c>
      <c r="E492" s="43" t="inlineStr">
        <is>
          <t>pilot-v2-doc-pm-kmy-guidelines-0000-0582a8323d67</t>
        </is>
      </c>
      <c r="F492" s="43" t="inlineStr">
        <is>
          <t>Pradhan Mantri Kisan Maan Dhan Yojana Operational Guidelines</t>
        </is>
      </c>
      <c r="G492"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492" s="49" t="inlineStr">
        <is>
          <t>0</t>
        </is>
      </c>
      <c r="I492" s="49" t="str"/>
      <c r="J492" s="55">
        <f>INT((ROW()-2)/50)+1</f>
        <v/>
      </c>
      <c r="K492" s="55">
        <f>IF(H492="","Pending",IF(OR(H492="0",H492="1",H492="2",H492="U"),"Complete","Invalid"))</f>
        <v/>
      </c>
    </row>
    <row r="493" ht="84" customHeight="1">
      <c r="A493" s="43" t="inlineStr">
        <is>
          <t>v2q-004-candidate-03</t>
        </is>
      </c>
      <c r="B493" s="43" t="inlineStr">
        <is>
          <t>v2q-004</t>
        </is>
      </c>
      <c r="C493" s="43" t="inlineStr">
        <is>
          <t>What is the maximum micro-loan amount stated for PMMY?</t>
        </is>
      </c>
      <c r="D493" s="43" t="inlineStr">
        <is>
          <t>PMMY facilitates micro-credit loans up to ₹20 lakh for eligible income-generating micro-enterprises.</t>
        </is>
      </c>
      <c r="E493" s="43" t="inlineStr">
        <is>
          <t>pilot-v2-doc-pmmy-0001-6035d0d102e8</t>
        </is>
      </c>
      <c r="F493" s="43" t="inlineStr">
        <is>
          <t>Pradhan Mantri Mudra Yojana</t>
        </is>
      </c>
      <c r="G493" s="43" t="inlineStr">
        <is>
          <t>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is>
      </c>
      <c r="H493" s="49" t="inlineStr">
        <is>
          <t>2</t>
        </is>
      </c>
      <c r="I493" s="49" t="str"/>
      <c r="J493" s="55">
        <f>INT((ROW()-2)/50)+1</f>
        <v/>
      </c>
      <c r="K493" s="55">
        <f>IF(H493="","Pending",IF(OR(H493="0",H493="1",H493="2",H493="U"),"Complete","Invalid"))</f>
        <v/>
      </c>
    </row>
    <row r="494" ht="84" customHeight="1">
      <c r="A494" s="43" t="inlineStr">
        <is>
          <t>v2q-020-candidate-08</t>
        </is>
      </c>
      <c r="B494" s="43" t="inlineStr">
        <is>
          <t>v2q-020</t>
        </is>
      </c>
      <c r="C494" s="43" t="inlineStr">
        <is>
          <t>How do NSDC and SPIAs divide responsibility in the Special Projects arm of the national skill mission?</t>
        </is>
      </c>
      <c r="D494" s="43" t="inlineStr">
        <is>
          <t>NSDC supports the ministry’s implementation, while Special Projects Implementing Agencies deliver the projects on the ground.</t>
        </is>
      </c>
      <c r="E494" s="43" t="inlineStr">
        <is>
          <t>pilot-v2-doc-pmkvy-sp-0000-0fc5cf1d7fb0</t>
        </is>
      </c>
      <c r="F494" s="43" t="inlineStr">
        <is>
          <t>Pradhan Mantri Kaushal Vikas Yojana 4.0- Special Projects</t>
        </is>
      </c>
      <c r="G494"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494" s="49" t="inlineStr">
        <is>
          <t>2</t>
        </is>
      </c>
      <c r="I494" s="49" t="str"/>
      <c r="J494" s="55">
        <f>INT((ROW()-2)/50)+1</f>
        <v/>
      </c>
      <c r="K494" s="55">
        <f>IF(H494="","Pending",IF(OR(H494="0",H494="1",H494="2",H494="U"),"Complete","Invalid"))</f>
        <v/>
      </c>
    </row>
    <row r="495" ht="84" customHeight="1">
      <c r="A495" s="43" t="inlineStr">
        <is>
          <t>v2q-020-candidate-13</t>
        </is>
      </c>
      <c r="B495" s="43" t="inlineStr">
        <is>
          <t>v2q-020</t>
        </is>
      </c>
      <c r="C495" s="43" t="inlineStr">
        <is>
          <t>How do NSDC and SPIAs divide responsibility in the Special Projects arm of the national skill mission?</t>
        </is>
      </c>
      <c r="D495" s="43" t="inlineStr">
        <is>
          <t>NSDC supports the ministry’s implementation, while Special Projects Implementing Agencies deliver the projects on the ground.</t>
        </is>
      </c>
      <c r="E495" s="43" t="inlineStr">
        <is>
          <t>pilot-v2-doc-pmkvy-rpl-0000-c98f315c1481</t>
        </is>
      </c>
      <c r="F495" s="43" t="inlineStr">
        <is>
          <t>Pradhan Mantri Kaushal Vikas Yojana 4.0 - Recognition Of Prior Learning</t>
        </is>
      </c>
      <c r="G495" s="43" t="inlineStr">
        <is>
          <t>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is>
      </c>
      <c r="H495" s="49" t="inlineStr">
        <is>
          <t>2</t>
        </is>
      </c>
      <c r="I495" s="49" t="str"/>
      <c r="J495" s="55">
        <f>INT((ROW()-2)/50)+1</f>
        <v/>
      </c>
      <c r="K495" s="55">
        <f>IF(H495="","Pending",IF(OR(H495="0",H495="1",H495="2",H495="U"),"Complete","Invalid"))</f>
        <v/>
      </c>
    </row>
    <row r="496" ht="84" customHeight="1">
      <c r="A496" s="43" t="inlineStr">
        <is>
          <t>v2q-007-candidate-22</t>
        </is>
      </c>
      <c r="B496" s="43" t="inlineStr">
        <is>
          <t>v2q-007</t>
        </is>
      </c>
      <c r="C496" s="43" t="inlineStr">
        <is>
          <t>What is the full form of PMJJBY, and which event does its life insurance cover?</t>
        </is>
      </c>
      <c r="D496" s="43" t="inlineStr">
        <is>
          <t>PMJJBY stands for Pradhan Mantri Jeevan Jyoti Bima Yojana and provides life-insurance cover for death due to any reason.</t>
        </is>
      </c>
      <c r="E496" s="43" t="inlineStr">
        <is>
          <t>pilot-v2-doc-mgnrega-0003-008750b5fc90</t>
        </is>
      </c>
      <c r="F496" s="43" t="inlineStr">
        <is>
          <t>Mahatma Gandhi National Rural Employment Guarantee Act</t>
        </is>
      </c>
      <c r="G496" s="43" t="inlineStr">
        <is>
          <t>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is>
      </c>
      <c r="H496" s="49" t="inlineStr">
        <is>
          <t>0</t>
        </is>
      </c>
      <c r="I496" s="49" t="str"/>
      <c r="J496" s="55">
        <f>INT((ROW()-2)/50)+1</f>
        <v/>
      </c>
      <c r="K496" s="55">
        <f>IF(H496="","Pending",IF(OR(H496="0",H496="1",H496="2",H496="U"),"Complete","Invalid"))</f>
        <v/>
      </c>
    </row>
    <row r="497" ht="84" customHeight="1">
      <c r="A497" s="43" t="inlineStr">
        <is>
          <t>v2q-027-candidate-02</t>
        </is>
      </c>
      <c r="B497" s="43" t="inlineStr">
        <is>
          <t>v2q-027</t>
        </is>
      </c>
      <c r="C497" s="43" t="inlineStr">
        <is>
          <t>What livelihood mechanism does PM SVANidhi offer street vendors, and which other programme from its ministry addresses housing shortages for eligible urban households?</t>
        </is>
      </c>
      <c r="D497" s="43" t="inlineStr">
        <is>
          <t>PM SVANidhi offers street vendors collateral-free working-capital loans, interest subsidy, and digital-payment incentives. PMAY-U, under the same Ministry of Housing and Urban Affairs, provides housing support for eligible urban households.</t>
        </is>
      </c>
      <c r="E497" s="43" t="inlineStr">
        <is>
          <t>pilot-v2-doc-pm-kmy-guidelines-0003-30d7d7a0db81</t>
        </is>
      </c>
      <c r="F497" s="43" t="inlineStr">
        <is>
          <t>Pradhan Mantri Kisan Maan Dhan Yojana Operational Guidelines</t>
        </is>
      </c>
      <c r="G497"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497" s="49" t="inlineStr">
        <is>
          <t>0</t>
        </is>
      </c>
      <c r="I497" s="49" t="str"/>
      <c r="J497" s="55">
        <f>INT((ROW()-2)/50)+1</f>
        <v/>
      </c>
      <c r="K497" s="55">
        <f>IF(H497="","Pending",IF(OR(H497="0",H497="1",H497="2",H497="U"),"Complete","Invalid"))</f>
        <v/>
      </c>
    </row>
    <row r="498" ht="84" customHeight="1">
      <c r="A498" s="43" t="inlineStr">
        <is>
          <t>v2q-004-candidate-11</t>
        </is>
      </c>
      <c r="B498" s="43" t="inlineStr">
        <is>
          <t>v2q-004</t>
        </is>
      </c>
      <c r="C498" s="43" t="inlineStr">
        <is>
          <t>What is the maximum micro-loan amount stated for PMMY?</t>
        </is>
      </c>
      <c r="D498" s="43" t="inlineStr">
        <is>
          <t>PMMY facilitates micro-credit loans up to ₹20 lakh for eligible income-generating micro-enterprises.</t>
        </is>
      </c>
      <c r="E498" s="43" t="inlineStr">
        <is>
          <t>pilot-v2-doc-pm-svanidhi-0000-f6024bb09ca5</t>
        </is>
      </c>
      <c r="F498" s="43" t="inlineStr">
        <is>
          <t>PM Street Vendor’s AtmaNirbhar Nidhi (PM SVANidhi)</t>
        </is>
      </c>
      <c r="G498"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498" s="49" t="inlineStr">
        <is>
          <t>0</t>
        </is>
      </c>
      <c r="I498" s="49" t="str"/>
      <c r="J498" s="55">
        <f>INT((ROW()-2)/50)+1</f>
        <v/>
      </c>
      <c r="K498" s="55">
        <f>IF(H498="","Pending",IF(OR(H498="0",H498="1",H498="2",H498="U"),"Complete","Invalid"))</f>
        <v/>
      </c>
    </row>
    <row r="499" ht="84" customHeight="1">
      <c r="A499" s="43" t="inlineStr">
        <is>
          <t>v2q-018-candidate-13</t>
        </is>
      </c>
      <c r="B499" s="43" t="inlineStr">
        <is>
          <t>v2q-018</t>
        </is>
      </c>
      <c r="C499" s="43" t="inlineStr">
        <is>
          <t>Which initiative helps city households across officially defined lower and middle income bands obtain permanent homes?</t>
        </is>
      </c>
      <c r="D499" s="43" t="inlineStr">
        <is>
          <t>Pradhan Mantri Awas Yojana–Urban addresses urban housing shortages and supports eligible EWS, LIG, and MIG households, including slum dwellers.</t>
        </is>
      </c>
      <c r="E499" s="43" t="inlineStr">
        <is>
          <t>pilot-v2-doc-pmay-u-0000-0b5e95b2690a</t>
        </is>
      </c>
      <c r="F499" s="43" t="inlineStr">
        <is>
          <t>Pradhan Mantri Awas Yojana - Urban</t>
        </is>
      </c>
      <c r="G499"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499" s="49" t="inlineStr">
        <is>
          <t>2</t>
        </is>
      </c>
      <c r="I499" s="49" t="str"/>
      <c r="J499" s="55">
        <f>INT((ROW()-2)/50)+1</f>
        <v/>
      </c>
      <c r="K499" s="55">
        <f>IF(H499="","Pending",IF(OR(H499="0",H499="1",H499="2",H499="U"),"Complete","Invalid"))</f>
        <v/>
      </c>
    </row>
    <row r="500" ht="84" customHeight="1">
      <c r="A500" s="43" t="inlineStr">
        <is>
          <t>v2q-014-candidate-06</t>
        </is>
      </c>
      <c r="B500" s="43" t="inlineStr">
        <is>
          <t>v2q-014</t>
        </is>
      </c>
      <c r="C500" s="43" t="inlineStr">
        <is>
          <t>Under the national ration programme, what monthly cereal allocation goes to families in the poorest entitlement tier and to each person in the priority tier?</t>
        </is>
      </c>
      <c r="D500" s="43" t="inlineStr">
        <is>
          <t>AAY families receive 35 kilograms per family per month, while PHH beneficiaries receive 5 kilograms per person per month.</t>
        </is>
      </c>
      <c r="E500" s="43" t="inlineStr">
        <is>
          <t>pilot-v2-doc-pm-kmy-guidelines-0006-2652020c834e</t>
        </is>
      </c>
      <c r="F500" s="43" t="inlineStr">
        <is>
          <t>Pradhan Mantri Kisan Maan Dhan Yojana Operational Guidelines</t>
        </is>
      </c>
      <c r="G500" s="43" t="inlineStr">
        <is>
          <t>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is>
      </c>
      <c r="H500" s="49" t="inlineStr">
        <is>
          <t>0</t>
        </is>
      </c>
      <c r="I500" s="49" t="str"/>
      <c r="J500" s="55">
        <f>INT((ROW()-2)/50)+1</f>
        <v/>
      </c>
      <c r="K500" s="55">
        <f>IF(H500="","Pending",IF(OR(H500="0",H500="1",H500="2",H500="U"),"Complete","Invalid"))</f>
        <v/>
      </c>
    </row>
    <row r="501" ht="84" customHeight="1">
      <c r="A501" s="43" t="inlineStr">
        <is>
          <t>v2q-022-candidate-03</t>
        </is>
      </c>
      <c r="B501" s="43" t="inlineStr">
        <is>
          <t>v2q-022</t>
        </is>
      </c>
      <c r="C501" s="43" t="inlineStr">
        <is>
          <t>Which finance programme relies on Member Lending Institutions to extend assistance to non-corporate micro-enterprises?</t>
        </is>
      </c>
      <c r="D501" s="43" t="inlineStr">
        <is>
          <t>Eligible Member Lending Institutions extend PMMY financial assistance and provide the scheme’s micro-loans to qualifying micro and small enterprises.</t>
        </is>
      </c>
      <c r="E501" s="43" t="inlineStr">
        <is>
          <t>pilot-v2-doc-pm-kmy-guidelines-0005-1b88dfec836a</t>
        </is>
      </c>
      <c r="F501" s="43" t="inlineStr">
        <is>
          <t>Pradhan Mantri Kisan Maan Dhan Yojana Operational Guidelines</t>
        </is>
      </c>
      <c r="G501" s="43" t="inlineStr">
        <is>
          <t>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 which their
       PM-Kisan benefits are credited, so that their contributions are automatically paid;
 (vi) The eligible SMFs who are not beneficiaries of PM-Kisan or who have not given
       consent  to  allow payment from  the  benefit  of PM-Kisan  shall  submit an
       enrolment-cum-auto-debit mandate form for giving their consent to auto-debit a
       bank account which is normally used by them for bank transactions;
 (vii) The Central Government through the Department of Agriculture Cooperation and
       Farmers Welfare shall also contribute an equal amount as contributed by the
         eligible subscriber, to the pension Fund. Account of such co-contributions shall be
       maintained separately by the LIC and these co-contributions along with fund
        earnings from time to time shall be utilized for pension payment on the date of
        vesting. Co-contributions would not be paid to subscribers in case of pre-mature
         exits. In such a case, the co-contributions along with fund earnings  will be
        transferred back to Pension Fund.
 (viii) The State  / UT Governments  will have the option of sharing the burden of
         individual SMF beneficiary’s contribution.
 (ix) The monthly contributions will fall due on the 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t>
        </is>
      </c>
      <c r="H501" s="49" t="inlineStr">
        <is>
          <t>0</t>
        </is>
      </c>
      <c r="I501" s="49" t="str"/>
      <c r="J501" s="55">
        <f>INT((ROW()-2)/50)+1</f>
        <v/>
      </c>
      <c r="K501" s="55">
        <f>IF(H501="","Pending",IF(OR(H501="0",H501="1",H501="2",H501="U"),"Complete","Invalid"))</f>
        <v/>
      </c>
    </row>
    <row r="502" ht="84" customHeight="1">
      <c r="A502" s="43" t="inlineStr">
        <is>
          <t>v2q-028-candidate-12</t>
        </is>
      </c>
      <c r="B502" s="43" t="inlineStr">
        <is>
          <t>v2q-028</t>
        </is>
      </c>
      <c r="C502" s="43" t="inlineStr">
        <is>
          <t>What does PMKVY Recognition of Prior Learning certify, and which other pathway from its ministry serves candidates seeking fresh short-term skills training?</t>
        </is>
      </c>
      <c r="D502" s="43" t="inlineStr">
        <is>
          <t>PMKVY Recognition of Prior Learning certifies candidates’ existing skills. PMKVY Short-Term Training, under the same Ministry of Skill Development and Entrepreneurship, provides fresh skilling, reskilling, or upskilling.</t>
        </is>
      </c>
      <c r="E502" s="43" t="inlineStr">
        <is>
          <t>pilot-v2-doc-pmkvy-sp-0004-57e566374b9c</t>
        </is>
      </c>
      <c r="F502" s="43" t="inlineStr">
        <is>
          <t>Pradhan Mantri Kaushal Vikas Yojana 4.0- Special Projects</t>
        </is>
      </c>
      <c r="G502" s="43" t="inlineStr">
        <is>
          <t>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 applicant appears for assessment by an NCVET-approved Awarding Body / Assessment Agency after completion of On-the-Job Training, requiring more than 70% biometric attendance to be eligible. Stage 9: On successful completion, the applicant is awarded a Quick Response (QR) code-based digital certificate, issued via DigiLocker, an email/phone download link, and the Skill India Digital profile page, along with one printed certificate provided free of cost by the Training Provider.</t>
        </is>
      </c>
      <c r="H502" s="49" t="inlineStr">
        <is>
          <t>1</t>
        </is>
      </c>
      <c r="I502" s="49" t="str"/>
      <c r="J502" s="55">
        <f>INT((ROW()-2)/50)+1</f>
        <v/>
      </c>
      <c r="K502" s="55">
        <f>IF(H502="","Pending",IF(OR(H502="0",H502="1",H502="2",H502="U"),"Complete","Invalid"))</f>
        <v/>
      </c>
    </row>
    <row r="503" ht="84" customHeight="1">
      <c r="A503" s="43" t="inlineStr">
        <is>
          <t>v2q-029-candidate-02</t>
        </is>
      </c>
      <c r="B503" s="43" t="inlineStr">
        <is>
          <t>v2q-029</t>
        </is>
      </c>
      <c r="C503" s="43" t="inlineStr">
        <is>
          <t>What migrant-focused facility distinguishes Ujjwala 2.0, and what clean-cooking transition was established by its predecessor programme?</t>
        </is>
      </c>
      <c r="D503" s="43" t="inlineStr">
        <is>
          <t>Ujjwala 2.0 added 1.6 crore LPG connections with a special facility for migrant households. Its predecessor, Pradhan Mantri Ujjwala Yojana, sought to replace traditional cooking fuels with LPG access for rural and deprived households.</t>
        </is>
      </c>
      <c r="E503" s="43" t="inlineStr">
        <is>
          <t>pilot-v2-doc-pmay-g-0000-d4162175877d</t>
        </is>
      </c>
      <c r="F503" s="43" t="inlineStr">
        <is>
          <t>Pradhan Mantri Awaas Yojana - Gramin</t>
        </is>
      </c>
      <c r="G503"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503" s="49" t="inlineStr">
        <is>
          <t>0</t>
        </is>
      </c>
      <c r="I503" s="49" t="str"/>
      <c r="J503" s="55">
        <f>INT((ROW()-2)/50)+1</f>
        <v/>
      </c>
      <c r="K503" s="55">
        <f>IF(H503="","Pending",IF(OR(H503="0",H503="1",H503="2",H503="U"),"Complete","Invalid"))</f>
        <v/>
      </c>
    </row>
    <row r="504" ht="84" customHeight="1">
      <c r="A504" s="43" t="inlineStr">
        <is>
          <t>v2q-022-candidate-26</t>
        </is>
      </c>
      <c r="B504" s="43" t="inlineStr">
        <is>
          <t>v2q-022</t>
        </is>
      </c>
      <c r="C504" s="43" t="inlineStr">
        <is>
          <t>Which finance programme relies on Member Lending Institutions to extend assistance to non-corporate micro-enterprises?</t>
        </is>
      </c>
      <c r="D504" s="43" t="inlineStr">
        <is>
          <t>Eligible Member Lending Institutions extend PMMY financial assistance and provide the scheme’s micro-loans to qualifying micro and small enterprises.</t>
        </is>
      </c>
      <c r="E504" s="43" t="inlineStr">
        <is>
          <t>pilot-v2-doc-ab-pmjay-0000-94c82a474579</t>
        </is>
      </c>
      <c r="F504" s="43" t="inlineStr">
        <is>
          <t>Ayushman Bharat - Pradhan Mantri Jan Arogya Yojana</t>
        </is>
      </c>
      <c r="G504"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504" s="49" t="inlineStr">
        <is>
          <t>0</t>
        </is>
      </c>
      <c r="I504" s="49" t="str"/>
      <c r="J504" s="55">
        <f>INT((ROW()-2)/50)+1</f>
        <v/>
      </c>
      <c r="K504" s="55">
        <f>IF(H504="","Pending",IF(OR(H504="0",H504="1",H504="2",H504="U"),"Complete","Invalid"))</f>
        <v/>
      </c>
    </row>
    <row r="505" ht="84" customHeight="1">
      <c r="A505" s="43" t="inlineStr">
        <is>
          <t>v2q-026-candidate-10</t>
        </is>
      </c>
      <c r="B505" s="43" t="inlineStr">
        <is>
          <t>v2q-026</t>
        </is>
      </c>
      <c r="C505" s="43" t="inlineStr">
        <is>
          <t>What employment guarantee does MGNREGA provide, and which other programme from its ministry supplies pucca houses to rural households?</t>
        </is>
      </c>
      <c r="D505" s="43" t="inlineStr">
        <is>
          <t>MGNREGA guarantees at least 100 days of wage employment to qualifying rural households. PMAY-G, under the same Ministry of Rural Development, supports pucca houses with basic amenities for eligible rural households.</t>
        </is>
      </c>
      <c r="E505" s="43" t="inlineStr">
        <is>
          <t>pilot-v2-doc-mgnrega-0003-008750b5fc90</t>
        </is>
      </c>
      <c r="F505" s="43" t="inlineStr">
        <is>
          <t>Mahatma Gandhi National Rural Employment Guarantee Act</t>
        </is>
      </c>
      <c r="G505" s="43" t="inlineStr">
        <is>
          <t>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is>
      </c>
      <c r="H505" s="49" t="inlineStr">
        <is>
          <t>1</t>
        </is>
      </c>
      <c r="I505" s="49" t="str"/>
      <c r="J505" s="55">
        <f>INT((ROW()-2)/50)+1</f>
        <v/>
      </c>
      <c r="K505" s="55">
        <f>IF(H505="","Pending",IF(OR(H505="0",H505="1",H505="2",H505="U"),"Complete","Invalid"))</f>
        <v/>
      </c>
    </row>
    <row r="506" ht="84" customHeight="1">
      <c r="A506" s="43" t="inlineStr">
        <is>
          <t>v2q-004-candidate-07</t>
        </is>
      </c>
      <c r="B506" s="43" t="inlineStr">
        <is>
          <t>v2q-004</t>
        </is>
      </c>
      <c r="C506" s="43" t="inlineStr">
        <is>
          <t>What is the maximum micro-loan amount stated for PMMY?</t>
        </is>
      </c>
      <c r="D506" s="43" t="inlineStr">
        <is>
          <t>PMMY facilitates micro-credit loans up to ₹20 lakh for eligible income-generating micro-enterprises.</t>
        </is>
      </c>
      <c r="E506" s="43" t="inlineStr">
        <is>
          <t>pilot-v2-doc-pmegp-0003-43256e8e6645</t>
        </is>
      </c>
      <c r="F506" s="43" t="inlineStr">
        <is>
          <t>Prime Minister's Employment Generation Programme</t>
        </is>
      </c>
      <c r="G506"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506" s="49" t="inlineStr">
        <is>
          <t>0</t>
        </is>
      </c>
      <c r="I506" s="49" t="str"/>
      <c r="J506" s="55">
        <f>INT((ROW()-2)/50)+1</f>
        <v/>
      </c>
      <c r="K506" s="55">
        <f>IF(H506="","Pending",IF(OR(H506="0",H506="1",H506="2",H506="U"),"Complete","Invalid"))</f>
        <v/>
      </c>
    </row>
    <row r="507" ht="84" customHeight="1">
      <c r="A507" s="43" t="inlineStr">
        <is>
          <t>v2q-014-candidate-17</t>
        </is>
      </c>
      <c r="B507" s="43" t="inlineStr">
        <is>
          <t>v2q-014</t>
        </is>
      </c>
      <c r="C507" s="43" t="inlineStr">
        <is>
          <t>Under the national ration programme, what monthly cereal allocation goes to families in the poorest entitlement tier and to each person in the priority tier?</t>
        </is>
      </c>
      <c r="D507" s="43" t="inlineStr">
        <is>
          <t>AAY families receive 35 kilograms per family per month, while PHH beneficiaries receive 5 kilograms per person per month.</t>
        </is>
      </c>
      <c r="E507" s="43" t="inlineStr">
        <is>
          <t>pilot-v2-doc-ab-pmjay-0003-1242266bb260</t>
        </is>
      </c>
      <c r="F507" s="43" t="inlineStr">
        <is>
          <t>Ayushman Bharat - Pradhan Mantri Jan Arogya Yojana</t>
        </is>
      </c>
      <c r="G507"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507" s="49" t="inlineStr">
        <is>
          <t>0</t>
        </is>
      </c>
      <c r="I507" s="49" t="str"/>
      <c r="J507" s="55">
        <f>INT((ROW()-2)/50)+1</f>
        <v/>
      </c>
      <c r="K507" s="55">
        <f>IF(H507="","Pending",IF(OR(H507="0",H507="1",H507="2",H507="U"),"Complete","Invalid"))</f>
        <v/>
      </c>
    </row>
    <row r="508" ht="84" customHeight="1">
      <c r="A508" s="43" t="inlineStr">
        <is>
          <t>v2q-003-candidate-08</t>
        </is>
      </c>
      <c r="B508" s="43" t="inlineStr">
        <is>
          <t>v2q-003</t>
        </is>
      </c>
      <c r="C508" s="43" t="inlineStr">
        <is>
          <t>What revised overdraft limit and RuPay accidental-insurance cover are stated for PMJDY?</t>
        </is>
      </c>
      <c r="D508" s="43" t="inlineStr">
        <is>
          <t>PMJDY states a revised overdraft limit of ₹10,000 and accidental-insurance cover of ₹2 lakh for RuPay cardholders.</t>
        </is>
      </c>
      <c r="E508" s="43" t="inlineStr">
        <is>
          <t>pilot-v2-doc-pmsby-0000-0f297846df39</t>
        </is>
      </c>
      <c r="F508" s="43" t="inlineStr">
        <is>
          <t>Pradhan Mantri Suraksha Bima Yojana</t>
        </is>
      </c>
      <c r="G508"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508" s="49" t="inlineStr">
        <is>
          <t>0</t>
        </is>
      </c>
      <c r="I508" s="49" t="str"/>
      <c r="J508" s="55">
        <f>INT((ROW()-2)/50)+1</f>
        <v/>
      </c>
      <c r="K508" s="55">
        <f>IF(H508="","Pending",IF(OR(H508="0",H508="1",H508="2",H508="U"),"Complete","Invalid"))</f>
        <v/>
      </c>
    </row>
    <row r="509" ht="84" customHeight="1">
      <c r="A509" s="43" t="inlineStr">
        <is>
          <t>v2q-012-candidate-02</t>
        </is>
      </c>
      <c r="B509" s="43" t="inlineStr">
        <is>
          <t>v2q-012</t>
        </is>
      </c>
      <c r="C509" s="43" t="inlineStr">
        <is>
          <t>What does PM SVANidhi stand for, and who is its intended beneficiary group?</t>
        </is>
      </c>
      <c r="D509" s="43" t="inlineStr">
        <is>
          <t>PM SVANidhi stands for PM Street Vendor’s AtmaNirbhar Nidhi and supports street vendors through working-capital and related incentives.</t>
        </is>
      </c>
      <c r="E509" s="43" t="inlineStr">
        <is>
          <t>pilot-v2-doc-pm-kmy-guidelines-0004-79b3bf95bb65</t>
        </is>
      </c>
      <c r="F509" s="43" t="inlineStr">
        <is>
          <t>Pradhan Mantri Kisan Maan Dhan Yojana Operational Guidelines</t>
        </is>
      </c>
      <c r="G509"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509" s="49" t="inlineStr">
        <is>
          <t>0</t>
        </is>
      </c>
      <c r="I509" s="49" t="str"/>
      <c r="J509" s="55">
        <f>INT((ROW()-2)/50)+1</f>
        <v/>
      </c>
      <c r="K509" s="55">
        <f>IF(H509="","Pending",IF(OR(H509="0",H509="1",H509="2",H509="U"),"Complete","Invalid"))</f>
        <v/>
      </c>
    </row>
    <row r="510" ht="84" customHeight="1">
      <c r="A510" s="43" t="inlineStr">
        <is>
          <t>v2q-009-candidate-08</t>
        </is>
      </c>
      <c r="B510" s="43" t="inlineStr">
        <is>
          <t>v2q-009</t>
        </is>
      </c>
      <c r="C510" s="43" t="inlineStr">
        <is>
          <t>What does APY stand for, and what monthly pension range does it guarantee after age 60?</t>
        </is>
      </c>
      <c r="D510" s="43" t="inlineStr">
        <is>
          <t>APY stands for Atal Pension Yojana and offers guaranteed monthly pension options from ₹1,000 to ₹5,000 after age 60.</t>
        </is>
      </c>
      <c r="E510" s="43" t="inlineStr">
        <is>
          <t>pilot-v2-doc-pm-kmy-guidelines-0001-5d83566dbb68</t>
        </is>
      </c>
      <c r="F510" s="43" t="inlineStr">
        <is>
          <t>Pradhan Mantri Kisan Maan Dhan Yojana Operational Guidelines</t>
        </is>
      </c>
      <c r="G510"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510" s="49" t="inlineStr">
        <is>
          <t>0</t>
        </is>
      </c>
      <c r="I510" s="49" t="str"/>
      <c r="J510" s="55">
        <f>INT((ROW()-2)/50)+1</f>
        <v/>
      </c>
      <c r="K510" s="55">
        <f>IF(H510="","Pending",IF(OR(H510="0",H510="1",H510="2",H510="U"),"Complete","Invalid"))</f>
        <v/>
      </c>
    </row>
    <row r="511" ht="84" customHeight="1">
      <c r="A511" s="43" t="inlineStr">
        <is>
          <t>v2q-019-candidate-13</t>
        </is>
      </c>
      <c r="B511" s="43" t="inlineStr">
        <is>
          <t>v2q-019</t>
        </is>
      </c>
      <c r="C511" s="43" t="inlineStr">
        <is>
          <t>What role does the Ministry of Petroleum and Natural Gas have in Ujjwala 2.0?</t>
        </is>
      </c>
      <c r="D511" s="43" t="inlineStr">
        <is>
          <t>The ministry introduced Ujjwala 2.0 to provide LPG connections and promote clean cooking fuel among poor, rural, and deprived households.</t>
        </is>
      </c>
      <c r="E511" s="43" t="inlineStr">
        <is>
          <t>pilot-v2-doc-pmuy2-0000-95fa2d4e3b3f</t>
        </is>
      </c>
      <c r="F511" s="43" t="inlineStr">
        <is>
          <t>Pradhan Mantri Ujjwala Yojana 2.0</t>
        </is>
      </c>
      <c r="G511" s="43" t="inlineStr">
        <is>
          <t>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is>
      </c>
      <c r="H511" s="49" t="inlineStr">
        <is>
          <t>2</t>
        </is>
      </c>
      <c r="I511" s="49" t="str"/>
      <c r="J511" s="55">
        <f>INT((ROW()-2)/50)+1</f>
        <v/>
      </c>
      <c r="K511" s="55">
        <f>IF(H511="","Pending",IF(OR(H511="0",H511="1",H511="2",H511="U"),"Complete","Invalid"))</f>
        <v/>
      </c>
    </row>
    <row r="512" ht="84" customHeight="1">
      <c r="A512" s="43" t="inlineStr">
        <is>
          <t>v2q-011-candidate-14</t>
        </is>
      </c>
      <c r="B512" s="43" t="inlineStr">
        <is>
          <t>v2q-011</t>
        </is>
      </c>
      <c r="C512" s="43" t="inlineStr">
        <is>
          <t>What does PM JANMAN stand for, and which communities does it target?</t>
        </is>
      </c>
      <c r="D512" s="43" t="inlineStr">
        <is>
          <t>PM JANMAN stands for PM Janjati Adivasi Nyaya Maha Abhiyan and targets Particularly Vulnerable Tribal Groups.</t>
        </is>
      </c>
      <c r="E512" s="43" t="inlineStr">
        <is>
          <t>pilot-v2-doc-pmegp-0000-7b958e1ec4b0</t>
        </is>
      </c>
      <c r="F512" s="43" t="inlineStr">
        <is>
          <t>Prime Minister's Employment Generation Programme</t>
        </is>
      </c>
      <c r="G512"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512" s="49" t="inlineStr">
        <is>
          <t>0</t>
        </is>
      </c>
      <c r="I512" s="49" t="str"/>
      <c r="J512" s="55">
        <f>INT((ROW()-2)/50)+1</f>
        <v/>
      </c>
      <c r="K512" s="55">
        <f>IF(H512="","Pending",IF(OR(H512="0",H512="1",H512="2",H512="U"),"Complete","Invalid"))</f>
        <v/>
      </c>
    </row>
    <row r="513" ht="84" customHeight="1">
      <c r="A513" s="43" t="inlineStr">
        <is>
          <t>v2q-017-candidate-15</t>
        </is>
      </c>
      <c r="B513" s="43" t="inlineStr">
        <is>
          <t>v2q-017</t>
        </is>
      </c>
      <c r="C513" s="43" t="inlineStr">
        <is>
          <t>Which training route serves people no longer in education or work who need an initial occupational skill?</t>
        </is>
      </c>
      <c r="D513" s="43" t="inlineStr">
        <is>
          <t>PMKVY 4.0 Short-Term Training provides fresh skilling, reskilling, or upskilling for groups including school or college dropouts and unemployed youth.</t>
        </is>
      </c>
      <c r="E513" s="43" t="inlineStr">
        <is>
          <t>pilot-v2-doc-pmkvy-stt-0001-ea2787dec4e8</t>
        </is>
      </c>
      <c r="F513" s="43" t="inlineStr">
        <is>
          <t>Pradhan Mantri Kaushal Vikas Yojana 4.0 - Short-Term Training</t>
        </is>
      </c>
      <c r="G513"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513" s="49" t="inlineStr">
        <is>
          <t>1</t>
        </is>
      </c>
      <c r="I513" s="49" t="str"/>
      <c r="J513" s="55">
        <f>INT((ROW()-2)/50)+1</f>
        <v/>
      </c>
      <c r="K513" s="55">
        <f>IF(H513="","Pending",IF(OR(H513="0",H513="1",H513="2",H513="U"),"Complete","Invalid"))</f>
        <v/>
      </c>
    </row>
    <row r="514" ht="84" customHeight="1">
      <c r="A514" s="43" t="inlineStr">
        <is>
          <t>v2q-024-candidate-20</t>
        </is>
      </c>
      <c r="B514" s="43" t="inlineStr">
        <is>
          <t>v2q-024</t>
        </is>
      </c>
      <c r="C514" s="43" t="inlineStr">
        <is>
          <t>Which national health-assurance programme does NHA implement under the health ministry?</t>
        </is>
      </c>
      <c r="D514" s="43" t="inlineStr">
        <is>
          <t>The National Health Authority implements AB-PMJAY under the Ministry of Health and Family Welfare.</t>
        </is>
      </c>
      <c r="E514" s="43" t="inlineStr">
        <is>
          <t>pilot-v2-doc-pm-gkay-0000-c29b96f46a80</t>
        </is>
      </c>
      <c r="F514" s="43" t="inlineStr">
        <is>
          <t>Pradhan Mantri Garib Kalyan Anna Yojana</t>
        </is>
      </c>
      <c r="G514"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514" s="49" t="inlineStr">
        <is>
          <t>0</t>
        </is>
      </c>
      <c r="I514" s="49" t="str"/>
      <c r="J514" s="55">
        <f>INT((ROW()-2)/50)+1</f>
        <v/>
      </c>
      <c r="K514" s="55">
        <f>IF(H514="","Pending",IF(OR(H514="0",H514="1",H514="2",H514="U"),"Complete","Invalid"))</f>
        <v/>
      </c>
    </row>
    <row r="515" ht="84" customHeight="1">
      <c r="A515" s="43" t="inlineStr">
        <is>
          <t>v2q-026-candidate-13</t>
        </is>
      </c>
      <c r="B515" s="43" t="inlineStr">
        <is>
          <t>v2q-026</t>
        </is>
      </c>
      <c r="C515" s="43" t="inlineStr">
        <is>
          <t>What employment guarantee does MGNREGA provide, and which other programme from its ministry supplies pucca houses to rural households?</t>
        </is>
      </c>
      <c r="D515" s="43" t="inlineStr">
        <is>
          <t>MGNREGA guarantees at least 100 days of wage employment to qualifying rural households. PMAY-G, under the same Ministry of Rural Development, supports pucca houses with basic amenities for eligible rural households.</t>
        </is>
      </c>
      <c r="E515" s="43" t="inlineStr">
        <is>
          <t>pilot-v2-doc-pm-janman-0000-69ac65d10edc</t>
        </is>
      </c>
      <c r="F515" s="43" t="inlineStr">
        <is>
          <t>PM Janjati Adivasi Nyaya Maha Abhiyan (PM JANMAN)</t>
        </is>
      </c>
      <c r="G515"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515" s="49" t="inlineStr">
        <is>
          <t>0</t>
        </is>
      </c>
      <c r="I515" s="49" t="str"/>
      <c r="J515" s="55">
        <f>INT((ROW()-2)/50)+1</f>
        <v/>
      </c>
      <c r="K515" s="55">
        <f>IF(H515="","Pending",IF(OR(H515="0",H515="1",H515="2",H515="U"),"Complete","Invalid"))</f>
        <v/>
      </c>
    </row>
    <row r="516" ht="84" customHeight="1">
      <c r="A516" s="43" t="inlineStr">
        <is>
          <t>v2q-001-candidate-21</t>
        </is>
      </c>
      <c r="B516" s="43" t="inlineStr">
        <is>
          <t>v2q-001</t>
        </is>
      </c>
      <c r="C516" s="43" t="inlineStr">
        <is>
          <t>What is the minimum house size specified under PMAY-G?</t>
        </is>
      </c>
      <c r="D516" s="43" t="inlineStr">
        <is>
          <t>The minimum house size is 25 square metres, including a dedicated hygienic cooking area.</t>
        </is>
      </c>
      <c r="E516" s="43" t="inlineStr">
        <is>
          <t>pilot-v2-doc-apy-0001-add48d27a4a2</t>
        </is>
      </c>
      <c r="F516" s="43" t="inlineStr">
        <is>
          <t>Atal Pension Yojana</t>
        </is>
      </c>
      <c r="G516"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516" s="49" t="inlineStr">
        <is>
          <t>0</t>
        </is>
      </c>
      <c r="I516" s="49" t="str"/>
      <c r="J516" s="55">
        <f>INT((ROW()-2)/50)+1</f>
        <v/>
      </c>
      <c r="K516" s="55">
        <f>IF(H516="","Pending",IF(OR(H516="0",H516="1",H516="2",H516="U"),"Complete","Invalid"))</f>
        <v/>
      </c>
    </row>
    <row r="517" ht="84" customHeight="1">
      <c r="A517" s="43" t="inlineStr">
        <is>
          <t>v2q-014-candidate-07</t>
        </is>
      </c>
      <c r="B517" s="43" t="inlineStr">
        <is>
          <t>v2q-014</t>
        </is>
      </c>
      <c r="C517" s="43" t="inlineStr">
        <is>
          <t>Under the national ration programme, what monthly cereal allocation goes to families in the poorest entitlement tier and to each person in the priority tier?</t>
        </is>
      </c>
      <c r="D517" s="43" t="inlineStr">
        <is>
          <t>AAY families receive 35 kilograms per family per month, while PHH beneficiaries receive 5 kilograms per person per month.</t>
        </is>
      </c>
      <c r="E517" s="43" t="inlineStr">
        <is>
          <t>pilot-v2-doc-pmuy-0000-ad06c0c09d46</t>
        </is>
      </c>
      <c r="F517" s="43" t="inlineStr">
        <is>
          <t>Pradhan Mantri Ujjwala Yojana</t>
        </is>
      </c>
      <c r="G517"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517" s="49" t="inlineStr">
        <is>
          <t>0</t>
        </is>
      </c>
      <c r="I517" s="49" t="str"/>
      <c r="J517" s="55">
        <f>INT((ROW()-2)/50)+1</f>
        <v/>
      </c>
      <c r="K517" s="55">
        <f>IF(H517="","Pending",IF(OR(H517="0",H517="1",H517="2",H517="U"),"Complete","Invalid"))</f>
        <v/>
      </c>
    </row>
    <row r="518" ht="84" customHeight="1">
      <c r="A518" s="43" t="inlineStr">
        <is>
          <t>v2q-012-candidate-20</t>
        </is>
      </c>
      <c r="B518" s="43" t="inlineStr">
        <is>
          <t>v2q-012</t>
        </is>
      </c>
      <c r="C518" s="43" t="inlineStr">
        <is>
          <t>What does PM SVANidhi stand for, and who is its intended beneficiary group?</t>
        </is>
      </c>
      <c r="D518" s="43" t="inlineStr">
        <is>
          <t>PM SVANidhi stands for PM Street Vendor’s AtmaNirbhar Nidhi and supports street vendors through working-capital and related incentives.</t>
        </is>
      </c>
      <c r="E518" s="43" t="inlineStr">
        <is>
          <t>pilot-v2-doc-pmay-u-0000-0b5e95b2690a</t>
        </is>
      </c>
      <c r="F518" s="43" t="inlineStr">
        <is>
          <t>Pradhan Mantri Awas Yojana - Urban</t>
        </is>
      </c>
      <c r="G518"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518" s="49" t="inlineStr">
        <is>
          <t>0</t>
        </is>
      </c>
      <c r="I518" s="49" t="str"/>
      <c r="J518" s="55">
        <f>INT((ROW()-2)/50)+1</f>
        <v/>
      </c>
      <c r="K518" s="55">
        <f>IF(H518="","Pending",IF(OR(H518="0",H518="1",H518="2",H518="U"),"Complete","Invalid"))</f>
        <v/>
      </c>
    </row>
    <row r="519" ht="84" customHeight="1">
      <c r="A519" s="43" t="inlineStr">
        <is>
          <t>v2q-005-candidate-23</t>
        </is>
      </c>
      <c r="B519" s="43" t="inlineStr">
        <is>
          <t>v2q-005</t>
        </is>
      </c>
      <c r="C519" s="43" t="inlineStr">
        <is>
          <t>How many days of wage employment does MGNREGA guarantee a rural household in a financial year?</t>
        </is>
      </c>
      <c r="D519" s="43" t="inlineStr">
        <is>
          <t>MGNREGA guarantees at least 100 days of wage employment per financial year to a rural household whose adult members volunteer for unskilled work.</t>
        </is>
      </c>
      <c r="E519" s="43" t="inlineStr">
        <is>
          <t>pilot-v2-doc-ab-pmjay-0000-94c82a474579</t>
        </is>
      </c>
      <c r="F519" s="43" t="inlineStr">
        <is>
          <t>Ayushman Bharat - Pradhan Mantri Jan Arogya Yojana</t>
        </is>
      </c>
      <c r="G519"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519" s="49" t="inlineStr">
        <is>
          <t>0</t>
        </is>
      </c>
      <c r="I519" s="49" t="str"/>
      <c r="J519" s="55">
        <f>INT((ROW()-2)/50)+1</f>
        <v/>
      </c>
      <c r="K519" s="55">
        <f>IF(H519="","Pending",IF(OR(H519="0",H519="1",H519="2",H519="U"),"Complete","Invalid"))</f>
        <v/>
      </c>
    </row>
    <row r="520" ht="84" customHeight="1">
      <c r="A520" s="43" t="inlineStr">
        <is>
          <t>v2q-022-candidate-29</t>
        </is>
      </c>
      <c r="B520" s="43" t="inlineStr">
        <is>
          <t>v2q-022</t>
        </is>
      </c>
      <c r="C520" s="43" t="inlineStr">
        <is>
          <t>Which finance programme relies on Member Lending Institutions to extend assistance to non-corporate micro-enterprises?</t>
        </is>
      </c>
      <c r="D520" s="43" t="inlineStr">
        <is>
          <t>Eligible Member Lending Institutions extend PMMY financial assistance and provide the scheme’s micro-loans to qualifying micro and small enterprises.</t>
        </is>
      </c>
      <c r="E520" s="43" t="inlineStr">
        <is>
          <t>pilot-v2-doc-mgnrega-0003-008750b5fc90</t>
        </is>
      </c>
      <c r="F520" s="43" t="inlineStr">
        <is>
          <t>Mahatma Gandhi National Rural Employment Guarantee Act</t>
        </is>
      </c>
      <c r="G520" s="43" t="inlineStr">
        <is>
          <t>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is>
      </c>
      <c r="H520" s="49" t="inlineStr">
        <is>
          <t>0</t>
        </is>
      </c>
      <c r="I520" s="49" t="str"/>
      <c r="J520" s="55">
        <f>INT((ROW()-2)/50)+1</f>
        <v/>
      </c>
      <c r="K520" s="55">
        <f>IF(H520="","Pending",IF(OR(H520="0",H520="1",H520="2",H520="U"),"Complete","Invalid"))</f>
        <v/>
      </c>
    </row>
    <row r="521" ht="84" customHeight="1">
      <c r="A521" s="43" t="inlineStr">
        <is>
          <t>v2q-034-candidate-15</t>
        </is>
      </c>
      <c r="B521" s="43" t="inlineStr">
        <is>
          <t>v2q-034</t>
        </is>
      </c>
      <c r="C521" s="43" t="inlineStr">
        <is>
          <t>How do three programmes meet distinct household needs for rural housing, clean cooking, and food security?</t>
        </is>
      </c>
      <c r="D521" s="43" t="inlineStr">
        <is>
          <t>PMAY-G supports pucca rural housing with basic amenities; PMUY provides LPG access to deprived households replacing traditional cooking fuels; PMGKAY provides free foodgrains to eligible AAY and PHH ration-card holders.</t>
        </is>
      </c>
      <c r="E521" s="43" t="inlineStr">
        <is>
          <t>pilot-v2-doc-pmkvy-sp-0000-0fc5cf1d7fb0</t>
        </is>
      </c>
      <c r="F521" s="43" t="inlineStr">
        <is>
          <t>Pradhan Mantri Kaushal Vikas Yojana 4.0- Special Projects</t>
        </is>
      </c>
      <c r="G521"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521" s="49" t="inlineStr">
        <is>
          <t>0</t>
        </is>
      </c>
      <c r="I521" s="49" t="str"/>
      <c r="J521" s="55">
        <f>INT((ROW()-2)/50)+1</f>
        <v/>
      </c>
      <c r="K521" s="55">
        <f>IF(H521="","Pending",IF(OR(H521="0",H521="1",H521="2",H521="U"),"Complete","Invalid"))</f>
        <v/>
      </c>
    </row>
    <row r="522" ht="84" customHeight="1">
      <c r="A522" s="43" t="inlineStr">
        <is>
          <t>v2q-001-candidate-17</t>
        </is>
      </c>
      <c r="B522" s="43" t="inlineStr">
        <is>
          <t>v2q-001</t>
        </is>
      </c>
      <c r="C522" s="43" t="inlineStr">
        <is>
          <t>What is the minimum house size specified under PMAY-G?</t>
        </is>
      </c>
      <c r="D522" s="43" t="inlineStr">
        <is>
          <t>The minimum house size is 25 square metres, including a dedicated hygienic cooking area.</t>
        </is>
      </c>
      <c r="E522" s="43" t="inlineStr">
        <is>
          <t>pilot-v2-doc-mgnrega-0000-7e6d80b47566</t>
        </is>
      </c>
      <c r="F522" s="43" t="inlineStr">
        <is>
          <t>Mahatma Gandhi National Rural Employment Guarantee Act</t>
        </is>
      </c>
      <c r="G522"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522" s="49" t="inlineStr">
        <is>
          <t>0</t>
        </is>
      </c>
      <c r="I522" s="49" t="str"/>
      <c r="J522" s="55">
        <f>INT((ROW()-2)/50)+1</f>
        <v/>
      </c>
      <c r="K522" s="55">
        <f>IF(H522="","Pending",IF(OR(H522="0",H522="1",H522="2",H522="U"),"Complete","Invalid"))</f>
        <v/>
      </c>
    </row>
    <row r="523" ht="84" customHeight="1">
      <c r="A523" s="43" t="inlineStr">
        <is>
          <t>v2q-013-candidate-19</t>
        </is>
      </c>
      <c r="B523" s="43" t="inlineStr">
        <is>
          <t>v2q-013</t>
        </is>
      </c>
      <c r="C523" s="43" t="inlineStr">
        <is>
          <t>Which initiative helps women in low-income countryside homes replace smoke-producing solid cooking materials with bottled gas?</t>
        </is>
      </c>
      <c r="D523" s="43" t="inlineStr">
        <is>
          <t>Pradhan Mantri Ujjwala Yojana provides LPG access to rural and deprived households that previously relied on traditional cooking fuels.</t>
        </is>
      </c>
      <c r="E523" s="43" t="inlineStr">
        <is>
          <t>pilot-v2-doc-ab-pmjay-0002-58c80bb24a6c</t>
        </is>
      </c>
      <c r="F523" s="43" t="inlineStr">
        <is>
          <t>Ayushman Bharat - Pradhan Mantri Jan Arogya Yojana</t>
        </is>
      </c>
      <c r="G523"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523" s="49" t="inlineStr">
        <is>
          <t>0</t>
        </is>
      </c>
      <c r="I523" s="49" t="str"/>
      <c r="J523" s="55">
        <f>INT((ROW()-2)/50)+1</f>
        <v/>
      </c>
      <c r="K523" s="55">
        <f>IF(H523="","Pending",IF(OR(H523="0",H523="1",H523="2",H523="U"),"Complete","Invalid"))</f>
        <v/>
      </c>
    </row>
    <row r="524" ht="84" customHeight="1">
      <c r="A524" s="43" t="inlineStr">
        <is>
          <t>v2q-013-candidate-02</t>
        </is>
      </c>
      <c r="B524" s="43" t="inlineStr">
        <is>
          <t>v2q-013</t>
        </is>
      </c>
      <c r="C524" s="43" t="inlineStr">
        <is>
          <t>Which initiative helps women in low-income countryside homes replace smoke-producing solid cooking materials with bottled gas?</t>
        </is>
      </c>
      <c r="D524" s="43" t="inlineStr">
        <is>
          <t>Pradhan Mantri Ujjwala Yojana provides LPG access to rural and deprived households that previously relied on traditional cooking fuels.</t>
        </is>
      </c>
      <c r="E524" s="43" t="inlineStr">
        <is>
          <t>pilot-v2-doc-pmfby-0002-5c46025b568d</t>
        </is>
      </c>
      <c r="F524" s="43" t="inlineStr">
        <is>
          <t>Pradhan Mantri Fasal Bima Yojna (PMFBY)</t>
        </is>
      </c>
      <c r="G524" s="43" t="inlineStr">
        <is>
          <t>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is>
      </c>
      <c r="H524" s="49" t="inlineStr">
        <is>
          <t>0</t>
        </is>
      </c>
      <c r="I524" s="49" t="str"/>
      <c r="J524" s="55">
        <f>INT((ROW()-2)/50)+1</f>
        <v/>
      </c>
      <c r="K524" s="55">
        <f>IF(H524="","Pending",IF(OR(H524="0",H524="1",H524="2",H524="U"),"Complete","Invalid"))</f>
        <v/>
      </c>
    </row>
    <row r="525" ht="84" customHeight="1">
      <c r="A525" s="43" t="inlineStr">
        <is>
          <t>v2q-022-candidate-13</t>
        </is>
      </c>
      <c r="B525" s="43" t="inlineStr">
        <is>
          <t>v2q-022</t>
        </is>
      </c>
      <c r="C525" s="43" t="inlineStr">
        <is>
          <t>Which finance programme relies on Member Lending Institutions to extend assistance to non-corporate micro-enterprises?</t>
        </is>
      </c>
      <c r="D525" s="43" t="inlineStr">
        <is>
          <t>Eligible Member Lending Institutions extend PMMY financial assistance and provide the scheme’s micro-loans to qualifying micro and small enterprises.</t>
        </is>
      </c>
      <c r="E525" s="43" t="inlineStr">
        <is>
          <t>pilot-v2-doc-pmmy-0001-6035d0d102e8</t>
        </is>
      </c>
      <c r="F525" s="43" t="inlineStr">
        <is>
          <t>Pradhan Mantri Mudra Yojana</t>
        </is>
      </c>
      <c r="G525" s="43" t="inlineStr">
        <is>
          <t>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is>
      </c>
      <c r="H525" s="49" t="inlineStr">
        <is>
          <t>1</t>
        </is>
      </c>
      <c r="I525" s="49" t="str"/>
      <c r="J525" s="55">
        <f>INT((ROW()-2)/50)+1</f>
        <v/>
      </c>
      <c r="K525" s="55">
        <f>IF(H525="","Pending",IF(OR(H525="0",H525="1",H525="2",H525="U"),"Complete","Invalid"))</f>
        <v/>
      </c>
    </row>
    <row r="526" ht="84" customHeight="1">
      <c r="A526" s="43" t="inlineStr">
        <is>
          <t>v2q-002-candidate-17</t>
        </is>
      </c>
      <c r="B526" s="43" t="inlineStr">
        <is>
          <t>v2q-002</t>
        </is>
      </c>
      <c r="C526" s="43" t="inlineStr">
        <is>
          <t>What maximum premium rates can farmers pay under PMFBY for Kharif, Rabi, and annual commercial or horticultural crops?</t>
        </is>
      </c>
      <c r="D526" s="43" t="inlineStr">
        <is>
          <t>Farmers pay at most 2% for Kharif food and oilseed crops, 1.5% for Rabi food and oilseed crops, and 5% for annual commercial or horticultural crops.</t>
        </is>
      </c>
      <c r="E526" s="43" t="inlineStr">
        <is>
          <t>pilot-v2-doc-pm-kisan-guidelines-0012-a77da98de388</t>
        </is>
      </c>
      <c r="F526" s="43" t="inlineStr">
        <is>
          <t>PM-KISAN Operational Guidelines</t>
        </is>
      </c>
      <c r="G526" s="43" t="inlineStr">
        <is>
          <t>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is>
      </c>
      <c r="H526" s="49" t="inlineStr">
        <is>
          <t>0</t>
        </is>
      </c>
      <c r="I526" s="49" t="str"/>
      <c r="J526" s="55">
        <f>INT((ROW()-2)/50)+1</f>
        <v/>
      </c>
      <c r="K526" s="55">
        <f>IF(H526="","Pending",IF(OR(H526="0",H526="1",H526="2",H526="U"),"Complete","Invalid"))</f>
        <v/>
      </c>
    </row>
    <row r="527" ht="84" customHeight="1">
      <c r="A527" s="43" t="inlineStr">
        <is>
          <t>v2q-027-candidate-05</t>
        </is>
      </c>
      <c r="B527" s="43" t="inlineStr">
        <is>
          <t>v2q-027</t>
        </is>
      </c>
      <c r="C527" s="43" t="inlineStr">
        <is>
          <t>What livelihood mechanism does PM SVANidhi offer street vendors, and which other programme from its ministry addresses housing shortages for eligible urban households?</t>
        </is>
      </c>
      <c r="D527" s="43" t="inlineStr">
        <is>
          <t>PM SVANidhi offers street vendors collateral-free working-capital loans, interest subsidy, and digital-payment incentives. PMAY-U, under the same Ministry of Housing and Urban Affairs, provides housing support for eligible urban households.</t>
        </is>
      </c>
      <c r="E527" s="43" t="inlineStr">
        <is>
          <t>pilot-v2-doc-pmay-g-0001-db2db8af1543</t>
        </is>
      </c>
      <c r="F527" s="43" t="inlineStr">
        <is>
          <t>Pradhan Mantri Awaas Yojana - Gramin</t>
        </is>
      </c>
      <c r="G527"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527" s="49" t="inlineStr">
        <is>
          <t>0</t>
        </is>
      </c>
      <c r="I527" s="49" t="str"/>
      <c r="J527" s="55">
        <f>INT((ROW()-2)/50)+1</f>
        <v/>
      </c>
      <c r="K527" s="55">
        <f>IF(H527="","Pending",IF(OR(H527="0",H527="1",H527="2",H527="U"),"Complete","Invalid"))</f>
        <v/>
      </c>
    </row>
    <row r="528" ht="84" customHeight="1">
      <c r="A528" s="43" t="inlineStr">
        <is>
          <t>v2q-006-candidate-20</t>
        </is>
      </c>
      <c r="B528" s="43" t="inlineStr">
        <is>
          <t>v2q-006</t>
        </is>
      </c>
      <c r="C528" s="43" t="inlineStr">
        <is>
          <t>What annual hospitalisation cover does AB-PMJAY provide per eligible family?</t>
        </is>
      </c>
      <c r="D528" s="43" t="inlineStr">
        <is>
          <t>AB-PMJAY provides cashless hospitalisation cover of ₹5 lakh per family per year for secondary and tertiary healthcare.</t>
        </is>
      </c>
      <c r="E528" s="43" t="inlineStr">
        <is>
          <t>pilot-v2-doc-pm-kisan-guidelines-0012-a77da98de388</t>
        </is>
      </c>
      <c r="F528" s="43" t="inlineStr">
        <is>
          <t>PM-KISAN Operational Guidelines</t>
        </is>
      </c>
      <c r="G528" s="43" t="inlineStr">
        <is>
          <t>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is>
      </c>
      <c r="H528" s="49" t="inlineStr">
        <is>
          <t>0</t>
        </is>
      </c>
      <c r="I528" s="49" t="str"/>
      <c r="J528" s="55">
        <f>INT((ROW()-2)/50)+1</f>
        <v/>
      </c>
      <c r="K528" s="55">
        <f>IF(H528="","Pending",IF(OR(H528="0",H528="1",H528="2",H528="U"),"Complete","Invalid"))</f>
        <v/>
      </c>
    </row>
    <row r="529" ht="84" customHeight="1">
      <c r="A529" s="43" t="inlineStr">
        <is>
          <t>v2q-002-candidate-06</t>
        </is>
      </c>
      <c r="B529" s="43" t="inlineStr">
        <is>
          <t>v2q-002</t>
        </is>
      </c>
      <c r="C529" s="43" t="inlineStr">
        <is>
          <t>What maximum premium rates can farmers pay under PMFBY for Kharif, Rabi, and annual commercial or horticultural crops?</t>
        </is>
      </c>
      <c r="D529" s="43" t="inlineStr">
        <is>
          <t>Farmers pay at most 2% for Kharif food and oilseed crops, 1.5% for Rabi food and oilseed crops, and 5% for annual commercial or horticultural crops.</t>
        </is>
      </c>
      <c r="E529" s="43" t="inlineStr">
        <is>
          <t>pilot-v2-doc-pmegp-0001-f900b4f4f97a</t>
        </is>
      </c>
      <c r="F529" s="43" t="inlineStr">
        <is>
          <t>Prime Minister's Employment Generation Programme</t>
        </is>
      </c>
      <c r="G529" s="43" t="inlineStr">
        <is>
          <t>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is>
      </c>
      <c r="H529" s="49" t="inlineStr">
        <is>
          <t>0</t>
        </is>
      </c>
      <c r="I529" s="49" t="str"/>
      <c r="J529" s="55">
        <f>INT((ROW()-2)/50)+1</f>
        <v/>
      </c>
      <c r="K529" s="55">
        <f>IF(H529="","Pending",IF(OR(H529="0",H529="1",H529="2",H529="U"),"Complete","Invalid"))</f>
        <v/>
      </c>
    </row>
    <row r="530" ht="84" customHeight="1">
      <c r="A530" s="43" t="inlineStr">
        <is>
          <t>v2q-026-candidate-16</t>
        </is>
      </c>
      <c r="B530" s="43" t="inlineStr">
        <is>
          <t>v2q-026</t>
        </is>
      </c>
      <c r="C530" s="43" t="inlineStr">
        <is>
          <t>What employment guarantee does MGNREGA provide, and which other programme from its ministry supplies pucca houses to rural households?</t>
        </is>
      </c>
      <c r="D530" s="43" t="inlineStr">
        <is>
          <t>MGNREGA guarantees at least 100 days of wage employment to qualifying rural households. PMAY-G, under the same Ministry of Rural Development, supports pucca houses with basic amenities for eligible rural households.</t>
        </is>
      </c>
      <c r="E530" s="43" t="inlineStr">
        <is>
          <t>pilot-v2-doc-ab-pmjay-0002-58c80bb24a6c</t>
        </is>
      </c>
      <c r="F530" s="43" t="inlineStr">
        <is>
          <t>Ayushman Bharat - Pradhan Mantri Jan Arogya Yojana</t>
        </is>
      </c>
      <c r="G530"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530" s="49" t="inlineStr">
        <is>
          <t>0</t>
        </is>
      </c>
      <c r="I530" s="49" t="str"/>
      <c r="J530" s="55">
        <f>INT((ROW()-2)/50)+1</f>
        <v/>
      </c>
      <c r="K530" s="55">
        <f>IF(H530="","Pending",IF(OR(H530="0",H530="1",H530="2",H530="U"),"Complete","Invalid"))</f>
        <v/>
      </c>
    </row>
    <row r="531" ht="84" customHeight="1">
      <c r="A531" s="43" t="inlineStr">
        <is>
          <t>v2q-012-candidate-07</t>
        </is>
      </c>
      <c r="B531" s="43" t="inlineStr">
        <is>
          <t>v2q-012</t>
        </is>
      </c>
      <c r="C531" s="43" t="inlineStr">
        <is>
          <t>What does PM SVANidhi stand for, and who is its intended beneficiary group?</t>
        </is>
      </c>
      <c r="D531" s="43" t="inlineStr">
        <is>
          <t>PM SVANidhi stands for PM Street Vendor’s AtmaNirbhar Nidhi and supports street vendors through working-capital and related incentives.</t>
        </is>
      </c>
      <c r="E531" s="43" t="inlineStr">
        <is>
          <t>pilot-v2-doc-pm-kmy-guidelines-0007-64fd9c6362ca</t>
        </is>
      </c>
      <c r="F531" s="43" t="inlineStr">
        <is>
          <t>Pradhan Mantri Kisan Maan Dhan Yojana Operational Guidelines</t>
        </is>
      </c>
      <c r="G531" s="43" t="inlineStr">
        <is>
          <t>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 Pension Fund.
(xii)  In case of death of subscriber before vesting date, if the spouse does not exercise
option of continuing under the scheme, then subscribers’ contributions along with fund
                                               5
interest earned or Savings Bank Interest whichever is higher would be payable to the
spouse under the scheme.
(xiii) In case of death of subscriber before vesting date,  if there is no spouse, then
subscribers’ contributions along with fund interest earned or Savings Bank Interest,
whichever  is higher, would be payable to the nominee/s under the scheme. The co-
contributions made by Government along with fund interest earned after adjusting for
difference between Savings Bank Interest payable and fund interest earned, if any will be
credited back to Pension fund of Government.
(xiv)  If a subscriber dies after the date of vesting, his/her spouse shall be entitled to
receive  fifty per cent of the pension received by such  eligible subscriber as Family
Pension, provided she/he is not already an SMF beneficiary of the Scheme, and such
family pension shall be applicable only to the spouse.
(xv)  After death of subscriber as well as of his/her spouse, the corpus  i.e.  total
accumulated contributions made by the subscriber and the Government shall be credited
back to the fund.
(xvi)  The Eligible SMFs desirous of joining the scheme shall  visit nearest Common
Service Centre (CSC) along with his Aadhaar card and bank passbook or account details.
(xvii) The Village Level Entrepreneur (VLE)</t>
        </is>
      </c>
      <c r="H531" s="49" t="inlineStr">
        <is>
          <t>0</t>
        </is>
      </c>
      <c r="I531" s="49" t="str"/>
      <c r="J531" s="55">
        <f>INT((ROW()-2)/50)+1</f>
        <v/>
      </c>
      <c r="K531" s="55">
        <f>IF(H531="","Pending",IF(OR(H531="0",H531="1",H531="2",H531="U"),"Complete","Invalid"))</f>
        <v/>
      </c>
    </row>
    <row r="532" ht="84" customHeight="1">
      <c r="A532" s="43" t="inlineStr">
        <is>
          <t>v2q-024-candidate-11</t>
        </is>
      </c>
      <c r="B532" s="43" t="inlineStr">
        <is>
          <t>v2q-024</t>
        </is>
      </c>
      <c r="C532" s="43" t="inlineStr">
        <is>
          <t>Which national health-assurance programme does NHA implement under the health ministry?</t>
        </is>
      </c>
      <c r="D532" s="43" t="inlineStr">
        <is>
          <t>The National Health Authority implements AB-PMJAY under the Ministry of Health and Family Welfare.</t>
        </is>
      </c>
      <c r="E532" s="43" t="inlineStr">
        <is>
          <t>pilot-v2-doc-pm-kisan-guidelines-0000-bbe94f08550e</t>
        </is>
      </c>
      <c r="F532" s="43" t="inlineStr">
        <is>
          <t>PM-KISAN Operational Guidelines</t>
        </is>
      </c>
      <c r="G532"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532" s="49" t="inlineStr">
        <is>
          <t>0</t>
        </is>
      </c>
      <c r="I532" s="49" t="str"/>
      <c r="J532" s="55">
        <f>INT((ROW()-2)/50)+1</f>
        <v/>
      </c>
      <c r="K532" s="55">
        <f>IF(H532="","Pending",IF(OR(H532="0",H532="1",H532="2",H532="U"),"Complete","Invalid"))</f>
        <v/>
      </c>
    </row>
    <row r="533" ht="84" customHeight="1">
      <c r="A533" s="43" t="inlineStr">
        <is>
          <t>v2q-011-candidate-05</t>
        </is>
      </c>
      <c r="B533" s="43" t="inlineStr">
        <is>
          <t>v2q-011</t>
        </is>
      </c>
      <c r="C533" s="43" t="inlineStr">
        <is>
          <t>What does PM JANMAN stand for, and which communities does it target?</t>
        </is>
      </c>
      <c r="D533" s="43" t="inlineStr">
        <is>
          <t>PM JANMAN stands for PM Janjati Adivasi Nyaya Maha Abhiyan and targets Particularly Vulnerable Tribal Groups.</t>
        </is>
      </c>
      <c r="E533" s="43" t="inlineStr">
        <is>
          <t>pilot-v2-doc-pm-kisan-guidelines-0004-b4ff0a728aa0</t>
        </is>
      </c>
      <c r="F533" s="43" t="inlineStr">
        <is>
          <t>PM-KISAN Operational Guidelines</t>
        </is>
      </c>
      <c r="G533" s="43" t="inlineStr">
        <is>
          <t>owner as on 01.02.2019. However,
               in such cases even the transferor of the land will become ineligible if the
              family of the transferor does not have any cultivable land subsequent to
           such a transfer.
5.3.4 The State Governments have to put in place the administrative mechanism
based on their existing land revenue administrative regime to take care of formulations.
There should be  clear cut  responsibility entrusted  to the  officials responsible  for
undertaking mutation of land records.
           i)      In case of correction of land record for recording land ownership accrued
           due to inheritance before 01.12.2018 then the eligibility of the family under
             the scheme shall be properly determined as per the conditions of the
           scheme. The procedure for determining the eligibility as per the exclusion
            clauses shall remain as prescribed.
            ii)     In case of transfer of land ownership due to inheritance, reassessing the
                 eligibility of the family under PM-KISAN -  If the family is no longer eligible,
            then the same have to be updated in the PM-KISAN portal so that the
              benefits can be discontinued subsequently.   In case of family of the
           deceased land owner is still eligible (where spouse or the minor children
            are having cultivable land and eligible as per guidelines), the details of the
          new beneficiary alongwith other details with the fresh self-declarations
           have  to be  provided  to  the  concerned  authorities  for  inclusion   /
             modifications so  that the  benefit  to the  survivors  of the  family can
             continue.
            iii)    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t>
        </is>
      </c>
      <c r="H533" s="49" t="inlineStr">
        <is>
          <t>0</t>
        </is>
      </c>
      <c r="I533" s="49" t="str"/>
      <c r="J533" s="55">
        <f>INT((ROW()-2)/50)+1</f>
        <v/>
      </c>
      <c r="K533" s="55">
        <f>IF(H533="","Pending",IF(OR(H533="0",H533="1",H533="2",H533="U"),"Complete","Invalid"))</f>
        <v/>
      </c>
    </row>
    <row r="534" ht="84" customHeight="1">
      <c r="A534" s="43" t="inlineStr">
        <is>
          <t>v2q-022-candidate-04</t>
        </is>
      </c>
      <c r="B534" s="43" t="inlineStr">
        <is>
          <t>v2q-022</t>
        </is>
      </c>
      <c r="C534" s="43" t="inlineStr">
        <is>
          <t>Which finance programme relies on Member Lending Institutions to extend assistance to non-corporate micro-enterprises?</t>
        </is>
      </c>
      <c r="D534" s="43" t="inlineStr">
        <is>
          <t>Eligible Member Lending Institutions extend PMMY financial assistance and provide the scheme’s micro-loans to qualifying micro and small enterprises.</t>
        </is>
      </c>
      <c r="E534" s="43" t="inlineStr">
        <is>
          <t>pilot-v2-doc-pmegp-0004-80f46cce6893</t>
        </is>
      </c>
      <c r="F534" s="43" t="inlineStr">
        <is>
          <t>Prime Minister's Employment Generation Programme</t>
        </is>
      </c>
      <c r="G534" s="43" t="inlineStr">
        <is>
          <t>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is>
      </c>
      <c r="H534" s="49" t="inlineStr">
        <is>
          <t>0</t>
        </is>
      </c>
      <c r="I534" s="49" t="str"/>
      <c r="J534" s="55">
        <f>INT((ROW()-2)/50)+1</f>
        <v/>
      </c>
      <c r="K534" s="55">
        <f>IF(H534="","Pending",IF(OR(H534="0",H534="1",H534="2",H534="U"),"Complete","Invalid"))</f>
        <v/>
      </c>
    </row>
    <row r="535" ht="84" customHeight="1">
      <c r="A535" s="43" t="inlineStr">
        <is>
          <t>v2q-008-candidate-21</t>
        </is>
      </c>
      <c r="B535" s="43" t="inlineStr">
        <is>
          <t>v2q-008</t>
        </is>
      </c>
      <c r="C535" s="43" t="inlineStr">
        <is>
          <t>Which accident-insurance programme is abbreviated PMSBY, and which outcomes trigger its cover?</t>
        </is>
      </c>
      <c r="D535" s="43" t="inlineStr">
        <is>
          <t>PMSBY stands for Pradhan Mantri Suraksha Bima Yojana and covers accidental death and disability.</t>
        </is>
      </c>
      <c r="E535" s="43" t="inlineStr">
        <is>
          <t>pilot-v2-doc-apy-0002-66a5cc4017fb</t>
        </is>
      </c>
      <c r="F535" s="43" t="inlineStr">
        <is>
          <t>Atal Pension Yojana</t>
        </is>
      </c>
      <c r="G535"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535" s="49" t="inlineStr">
        <is>
          <t>0</t>
        </is>
      </c>
      <c r="I535" s="49" t="str"/>
      <c r="J535" s="55">
        <f>INT((ROW()-2)/50)+1</f>
        <v/>
      </c>
      <c r="K535" s="55">
        <f>IF(H535="","Pending",IF(OR(H535="0",H535="1",H535="2",H535="U"),"Complete","Invalid"))</f>
        <v/>
      </c>
    </row>
    <row r="536" ht="84" customHeight="1">
      <c r="A536" s="43" t="inlineStr">
        <is>
          <t>v2q-006-candidate-04</t>
        </is>
      </c>
      <c r="B536" s="43" t="inlineStr">
        <is>
          <t>v2q-006</t>
        </is>
      </c>
      <c r="C536" s="43" t="inlineStr">
        <is>
          <t>What annual hospitalisation cover does AB-PMJAY provide per eligible family?</t>
        </is>
      </c>
      <c r="D536" s="43" t="inlineStr">
        <is>
          <t>AB-PMJAY provides cashless hospitalisation cover of ₹5 lakh per family per year for secondary and tertiary healthcare.</t>
        </is>
      </c>
      <c r="E536" s="43" t="inlineStr">
        <is>
          <t>pilot-v2-doc-pmay-u-0001-b64fadc4bf6b</t>
        </is>
      </c>
      <c r="F536" s="43" t="inlineStr">
        <is>
          <t>Pradhan Mantri Awas Yojana - Urban</t>
        </is>
      </c>
      <c r="G536"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536" s="49" t="inlineStr">
        <is>
          <t>0</t>
        </is>
      </c>
      <c r="I536" s="49" t="str"/>
      <c r="J536" s="55">
        <f>INT((ROW()-2)/50)+1</f>
        <v/>
      </c>
      <c r="K536" s="55">
        <f>IF(H536="","Pending",IF(OR(H536="0",H536="1",H536="2",H536="U"),"Complete","Invalid"))</f>
        <v/>
      </c>
    </row>
    <row r="537" ht="84" customHeight="1">
      <c r="A537" s="43" t="inlineStr">
        <is>
          <t>v2q-026-candidate-04</t>
        </is>
      </c>
      <c r="B537" s="43" t="inlineStr">
        <is>
          <t>v2q-026</t>
        </is>
      </c>
      <c r="C537" s="43" t="inlineStr">
        <is>
          <t>What employment guarantee does MGNREGA provide, and which other programme from its ministry supplies pucca houses to rural households?</t>
        </is>
      </c>
      <c r="D537" s="43" t="inlineStr">
        <is>
          <t>MGNREGA guarantees at least 100 days of wage employment to qualifying rural households. PMAY-G, under the same Ministry of Rural Development, supports pucca houses with basic amenities for eligible rural households.</t>
        </is>
      </c>
      <c r="E537" s="43" t="inlineStr">
        <is>
          <t>pilot-v2-doc-mgnrega-0000-7e6d80b47566</t>
        </is>
      </c>
      <c r="F537" s="43" t="inlineStr">
        <is>
          <t>Mahatma Gandhi National Rural Employment Guarantee Act</t>
        </is>
      </c>
      <c r="G537"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537" s="49" t="inlineStr">
        <is>
          <t>2</t>
        </is>
      </c>
      <c r="I537" s="49" t="str"/>
      <c r="J537" s="55">
        <f>INT((ROW()-2)/50)+1</f>
        <v/>
      </c>
      <c r="K537" s="55">
        <f>IF(H537="","Pending",IF(OR(H537="0",H537="1",H537="2",H537="U"),"Complete","Invalid"))</f>
        <v/>
      </c>
    </row>
    <row r="538" ht="84" customHeight="1">
      <c r="A538" s="43" t="inlineStr">
        <is>
          <t>v2q-023-candidate-10</t>
        </is>
      </c>
      <c r="B538" s="43" t="inlineStr">
        <is>
          <t>v2q-023</t>
        </is>
      </c>
      <c r="C538" s="43" t="inlineStr">
        <is>
          <t>What role does a Gram Panchayat play when a household registers for MGNREGA?</t>
        </is>
      </c>
      <c r="D538" s="43" t="inlineStr">
        <is>
          <t>A household may apply through its local Gram Panchayat, which verifies residence, household identity, and adult membership details.</t>
        </is>
      </c>
      <c r="E538" s="43" t="inlineStr">
        <is>
          <t>pilot-v2-doc-pmay-g-0001-db2db8af1543</t>
        </is>
      </c>
      <c r="F538" s="43" t="inlineStr">
        <is>
          <t>Pradhan Mantri Awaas Yojana - Gramin</t>
        </is>
      </c>
      <c r="G538" s="43" t="inlineStr">
        <is>
          <t>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is>
      </c>
      <c r="H538" s="49" t="inlineStr">
        <is>
          <t>0</t>
        </is>
      </c>
      <c r="I538" s="49" t="str"/>
      <c r="J538" s="55">
        <f>INT((ROW()-2)/50)+1</f>
        <v/>
      </c>
      <c r="K538" s="55">
        <f>IF(H538="","Pending",IF(OR(H538="0",H538="1",H538="2",H538="U"),"Complete","Invalid"))</f>
        <v/>
      </c>
    </row>
    <row r="539" ht="84" customHeight="1">
      <c r="A539" s="43" t="inlineStr">
        <is>
          <t>v2q-007-candidate-07</t>
        </is>
      </c>
      <c r="B539" s="43" t="inlineStr">
        <is>
          <t>v2q-007</t>
        </is>
      </c>
      <c r="C539" s="43" t="inlineStr">
        <is>
          <t>What is the full form of PMJJBY, and which event does its life insurance cover?</t>
        </is>
      </c>
      <c r="D539" s="43" t="inlineStr">
        <is>
          <t>PMJJBY stands for Pradhan Mantri Jeevan Jyoti Bima Yojana and provides life-insurance cover for death due to any reason.</t>
        </is>
      </c>
      <c r="E539" s="43" t="inlineStr">
        <is>
          <t>pilot-v2-doc-pmsby-0001-8851a01ce006</t>
        </is>
      </c>
      <c r="F539" s="43" t="inlineStr">
        <is>
          <t>Pradhan Mantri Suraksha Bima Yojana</t>
        </is>
      </c>
      <c r="G539" s="43" t="inlineStr">
        <is>
          <t>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Free Number - 1800-180-1111 / 1800-110-001. One can also avail cover under PMSBY online using their bank's Net banking facility.</t>
        </is>
      </c>
      <c r="H539" s="49" t="inlineStr">
        <is>
          <t>1</t>
        </is>
      </c>
      <c r="I539" s="49" t="str"/>
      <c r="J539" s="55">
        <f>INT((ROW()-2)/50)+1</f>
        <v/>
      </c>
      <c r="K539" s="55">
        <f>IF(H539="","Pending",IF(OR(H539="0",H539="1",H539="2",H539="U"),"Complete","Invalid"))</f>
        <v/>
      </c>
    </row>
    <row r="540" ht="84" customHeight="1">
      <c r="A540" s="43" t="inlineStr">
        <is>
          <t>v2q-004-candidate-08</t>
        </is>
      </c>
      <c r="B540" s="43" t="inlineStr">
        <is>
          <t>v2q-004</t>
        </is>
      </c>
      <c r="C540" s="43" t="inlineStr">
        <is>
          <t>What is the maximum micro-loan amount stated for PMMY?</t>
        </is>
      </c>
      <c r="D540" s="43" t="inlineStr">
        <is>
          <t>PMMY facilitates micro-credit loans up to ₹20 lakh for eligible income-generating micro-enterprises.</t>
        </is>
      </c>
      <c r="E540" s="43" t="inlineStr">
        <is>
          <t>pilot-v2-doc-pmegp-0001-f900b4f4f97a</t>
        </is>
      </c>
      <c r="F540" s="43" t="inlineStr">
        <is>
          <t>Prime Minister's Employment Generation Programme</t>
        </is>
      </c>
      <c r="G540" s="43" t="inlineStr">
        <is>
          <t>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is>
      </c>
      <c r="H540" s="49" t="inlineStr">
        <is>
          <t>0</t>
        </is>
      </c>
      <c r="I540" s="49" t="str"/>
      <c r="J540" s="55">
        <f>INT((ROW()-2)/50)+1</f>
        <v/>
      </c>
      <c r="K540" s="55">
        <f>IF(H540="","Pending",IF(OR(H540="0",H540="1",H540="2",H540="U"),"Complete","Invalid"))</f>
        <v/>
      </c>
    </row>
    <row r="541" ht="84" customHeight="1">
      <c r="A541" s="43" t="inlineStr">
        <is>
          <t>v2q-007-candidate-16</t>
        </is>
      </c>
      <c r="B541" s="43" t="inlineStr">
        <is>
          <t>v2q-007</t>
        </is>
      </c>
      <c r="C541" s="43" t="inlineStr">
        <is>
          <t>What is the full form of PMJJBY, and which event does its life insurance cover?</t>
        </is>
      </c>
      <c r="D541" s="43" t="inlineStr">
        <is>
          <t>PMJJBY stands for Pradhan Mantri Jeevan Jyoti Bima Yojana and provides life-insurance cover for death due to any reason.</t>
        </is>
      </c>
      <c r="E541" s="43" t="inlineStr">
        <is>
          <t>pilot-v2-doc-pm-kmy-guidelines-0003-30d7d7a0db81</t>
        </is>
      </c>
      <c r="F541" s="43" t="inlineStr">
        <is>
          <t>Pradhan Mantri Kisan Maan Dhan Yojana Operational Guidelines</t>
        </is>
      </c>
      <c r="G541"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541" s="49" t="inlineStr">
        <is>
          <t>0</t>
        </is>
      </c>
      <c r="I541" s="49" t="str"/>
      <c r="J541" s="55">
        <f>INT((ROW()-2)/50)+1</f>
        <v/>
      </c>
      <c r="K541" s="55">
        <f>IF(H541="","Pending",IF(OR(H541="0",H541="1",H541="2",H541="U"),"Complete","Invalid"))</f>
        <v/>
      </c>
    </row>
    <row r="542" ht="84" customHeight="1">
      <c r="A542" s="43" t="inlineStr">
        <is>
          <t>v2q-003-candidate-13</t>
        </is>
      </c>
      <c r="B542" s="43" t="inlineStr">
        <is>
          <t>v2q-003</t>
        </is>
      </c>
      <c r="C542" s="43" t="inlineStr">
        <is>
          <t>What revised overdraft limit and RuPay accidental-insurance cover are stated for PMJDY?</t>
        </is>
      </c>
      <c r="D542" s="43" t="inlineStr">
        <is>
          <t>PMJDY states a revised overdraft limit of ₹10,000 and accidental-insurance cover of ₹2 lakh for RuPay cardholders.</t>
        </is>
      </c>
      <c r="E542" s="43" t="inlineStr">
        <is>
          <t>pilot-v2-doc-pmegp-0003-43256e8e6645</t>
        </is>
      </c>
      <c r="F542" s="43" t="inlineStr">
        <is>
          <t>Prime Minister's Employment Generation Programme</t>
        </is>
      </c>
      <c r="G542"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542" s="49" t="inlineStr">
        <is>
          <t>0</t>
        </is>
      </c>
      <c r="I542" s="49" t="str"/>
      <c r="J542" s="55">
        <f>INT((ROW()-2)/50)+1</f>
        <v/>
      </c>
      <c r="K542" s="55">
        <f>IF(H542="","Pending",IF(OR(H542="0",H542="1",H542="2",H542="U"),"Complete","Invalid"))</f>
        <v/>
      </c>
    </row>
    <row r="543" ht="84" customHeight="1">
      <c r="A543" s="43" t="inlineStr">
        <is>
          <t>v2q-028-candidate-10</t>
        </is>
      </c>
      <c r="B543" s="43" t="inlineStr">
        <is>
          <t>v2q-028</t>
        </is>
      </c>
      <c r="C543" s="43" t="inlineStr">
        <is>
          <t>What does PMKVY Recognition of Prior Learning certify, and which other pathway from its ministry serves candidates seeking fresh short-term skills training?</t>
        </is>
      </c>
      <c r="D543" s="43" t="inlineStr">
        <is>
          <t>PMKVY Recognition of Prior Learning certifies candidates’ existing skills. PMKVY Short-Term Training, under the same Ministry of Skill Development and Entrepreneurship, provides fresh skilling, reskilling, or upskilling.</t>
        </is>
      </c>
      <c r="E543" s="43" t="inlineStr">
        <is>
          <t>pilot-v2-doc-pmkvy-rpl-0000-c98f315c1481</t>
        </is>
      </c>
      <c r="F543" s="43" t="inlineStr">
        <is>
          <t>Pradhan Mantri Kaushal Vikas Yojana 4.0 - Recognition Of Prior Learning</t>
        </is>
      </c>
      <c r="G543" s="43" t="inlineStr">
        <is>
          <t>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is>
      </c>
      <c r="H543" s="49" t="inlineStr">
        <is>
          <t>2</t>
        </is>
      </c>
      <c r="I543" s="49" t="str"/>
      <c r="J543" s="55">
        <f>INT((ROW()-2)/50)+1</f>
        <v/>
      </c>
      <c r="K543" s="55">
        <f>IF(H543="","Pending",IF(OR(H543="0",H543="1",H543="2",H543="U"),"Complete","Invalid"))</f>
        <v/>
      </c>
    </row>
    <row r="544" ht="84" customHeight="1">
      <c r="A544" s="43" t="inlineStr">
        <is>
          <t>v2q-007-candidate-18</t>
        </is>
      </c>
      <c r="B544" s="43" t="inlineStr">
        <is>
          <t>v2q-007</t>
        </is>
      </c>
      <c r="C544" s="43" t="inlineStr">
        <is>
          <t>What is the full form of PMJJBY, and which event does its life insurance cover?</t>
        </is>
      </c>
      <c r="D544" s="43" t="inlineStr">
        <is>
          <t>PMJJBY stands for Pradhan Mantri Jeevan Jyoti Bima Yojana and provides life-insurance cover for death due to any reason.</t>
        </is>
      </c>
      <c r="E544" s="43" t="inlineStr">
        <is>
          <t>pilot-v2-doc-pm-gkay-0000-c29b96f46a80</t>
        </is>
      </c>
      <c r="F544" s="43" t="inlineStr">
        <is>
          <t>Pradhan Mantri Garib Kalyan Anna Yojana</t>
        </is>
      </c>
      <c r="G544"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544" s="49" t="inlineStr">
        <is>
          <t>0</t>
        </is>
      </c>
      <c r="I544" s="49" t="str"/>
      <c r="J544" s="55">
        <f>INT((ROW()-2)/50)+1</f>
        <v/>
      </c>
      <c r="K544" s="55">
        <f>IF(H544="","Pending",IF(OR(H544="0",H544="1",H544="2",H544="U"),"Complete","Invalid"))</f>
        <v/>
      </c>
    </row>
    <row r="545" ht="84" customHeight="1">
      <c r="A545" s="43" t="inlineStr">
        <is>
          <t>v2q-014-candidate-11</t>
        </is>
      </c>
      <c r="B545" s="43" t="inlineStr">
        <is>
          <t>v2q-014</t>
        </is>
      </c>
      <c r="C545" s="43" t="inlineStr">
        <is>
          <t>Under the national ration programme, what monthly cereal allocation goes to families in the poorest entitlement tier and to each person in the priority tier?</t>
        </is>
      </c>
      <c r="D545" s="43" t="inlineStr">
        <is>
          <t>AAY families receive 35 kilograms per family per month, while PHH beneficiaries receive 5 kilograms per person per month.</t>
        </is>
      </c>
      <c r="E545" s="43" t="inlineStr">
        <is>
          <t>pilot-v2-doc-pmuy-0001-5fd4d0cd2135</t>
        </is>
      </c>
      <c r="F545" s="43" t="inlineStr">
        <is>
          <t>Pradhan Mantri Ujjwala Yojana</t>
        </is>
      </c>
      <c r="G545"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545" s="49" t="inlineStr">
        <is>
          <t>0</t>
        </is>
      </c>
      <c r="I545" s="49" t="str"/>
      <c r="J545" s="55">
        <f>INT((ROW()-2)/50)+1</f>
        <v/>
      </c>
      <c r="K545" s="55">
        <f>IF(H545="","Pending",IF(OR(H545="0",H545="1",H545="2",H545="U"),"Complete","Invalid"))</f>
        <v/>
      </c>
    </row>
    <row r="546" ht="84" customHeight="1">
      <c r="A546" s="43" t="inlineStr">
        <is>
          <t>v2q-018-candidate-01</t>
        </is>
      </c>
      <c r="B546" s="43" t="inlineStr">
        <is>
          <t>v2q-018</t>
        </is>
      </c>
      <c r="C546" s="43" t="inlineStr">
        <is>
          <t>Which initiative helps city households across officially defined lower and middle income bands obtain permanent homes?</t>
        </is>
      </c>
      <c r="D546" s="43" t="inlineStr">
        <is>
          <t>Pradhan Mantri Awas Yojana–Urban addresses urban housing shortages and supports eligible EWS, LIG, and MIG households, including slum dwellers.</t>
        </is>
      </c>
      <c r="E546" s="43" t="inlineStr">
        <is>
          <t>pilot-v2-doc-pm-janman-0000-69ac65d10edc</t>
        </is>
      </c>
      <c r="F546" s="43" t="inlineStr">
        <is>
          <t>PM Janjati Adivasi Nyaya Maha Abhiyan (PM JANMAN)</t>
        </is>
      </c>
      <c r="G546"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546" s="49" t="inlineStr">
        <is>
          <t>0</t>
        </is>
      </c>
      <c r="I546" s="49" t="str"/>
      <c r="J546" s="55">
        <f>INT((ROW()-2)/50)+1</f>
        <v/>
      </c>
      <c r="K546" s="55">
        <f>IF(H546="","Pending",IF(OR(H546="0",H546="1",H546="2",H546="U"),"Complete","Invalid"))</f>
        <v/>
      </c>
    </row>
    <row r="547" ht="84" customHeight="1">
      <c r="A547" s="43" t="inlineStr">
        <is>
          <t>v2q-032-candidate-03</t>
        </is>
      </c>
      <c r="B547" s="43" t="inlineStr">
        <is>
          <t>v2q-032</t>
        </is>
      </c>
      <c r="C547" s="43" t="inlineStr">
        <is>
          <t>How do three farmer programmes separately address crop loss, current income needs, and old-age income security?</t>
        </is>
      </c>
      <c r="D547" s="43" t="inlineStr">
        <is>
          <t>PMFBY insures crops against specified losses; PM-KISAN transfers ₹6,000 annually to eligible farmer families; PM-KMY provides eligible small and marginal farmers an assured ₹3,000 monthly pension from age 60.</t>
        </is>
      </c>
      <c r="E547" s="43" t="inlineStr">
        <is>
          <t>pilot-v2-doc-pmfby-0003-5aa41e0f864d</t>
        </is>
      </c>
      <c r="F547" s="43" t="inlineStr">
        <is>
          <t>Pradhan Mantri Fasal Bima Yojna (PMFBY)</t>
        </is>
      </c>
      <c r="G547" s="43" t="inlineStr">
        <is>
          <t>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is>
      </c>
      <c r="H547" s="49" t="inlineStr">
        <is>
          <t>2</t>
        </is>
      </c>
      <c r="I547" s="49" t="str"/>
      <c r="J547" s="55">
        <f>INT((ROW()-2)/50)+1</f>
        <v/>
      </c>
      <c r="K547" s="55">
        <f>IF(H547="","Pending",IF(OR(H547="0",H547="1",H547="2",H547="U"),"Complete","Invalid"))</f>
        <v/>
      </c>
    </row>
    <row r="548" ht="84" customHeight="1">
      <c r="A548" s="43" t="inlineStr">
        <is>
          <t>v2q-020-candidate-03</t>
        </is>
      </c>
      <c r="B548" s="43" t="inlineStr">
        <is>
          <t>v2q-020</t>
        </is>
      </c>
      <c r="C548" s="43" t="inlineStr">
        <is>
          <t>How do NSDC and SPIAs divide responsibility in the Special Projects arm of the national skill mission?</t>
        </is>
      </c>
      <c r="D548" s="43" t="inlineStr">
        <is>
          <t>NSDC supports the ministry’s implementation, while Special Projects Implementing Agencies deliver the projects on the ground.</t>
        </is>
      </c>
      <c r="E548" s="43" t="inlineStr">
        <is>
          <t>pilot-v2-doc-pm-kisan-guidelines-0010-3f4cd01daefd</t>
        </is>
      </c>
      <c r="F548" s="43" t="inlineStr">
        <is>
          <t>PM-KISAN Operational Guidelines</t>
        </is>
      </c>
      <c r="G548" s="43" t="inlineStr">
        <is>
          <t>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   will  designate  a  Nodal  Department  for
implementation of the scheme and coordinating with Central Government with regard to
implementation of Income Support Scheme.
8.3  On the lines of PMU at central level, States  / UTs may consider setting up
dedicated Project Monitoring Units at State  / UT Level. 0.125% for the amount of
installments transferred to beneficiaries can be transferred by Central Government to
State / UT Government to cover the expenditure on their PMUs, if established and for
meeting  other  related  administrative expenses  including  cost  to be  incurred  for
procurement  of  stationary,  field  verification,   filling  of  prescribed  formats,  their
certification and its uploading as well as incentive for field functionaries, publicity, etc.
States / UTs will furnish the details of the account to which Administrative Charges are
credited by the Central Government. The administrative charges payable to the States /
UTs will be provided by Government of India based on the volume of work and the
number of beneficiaries.
                                         7
9.    PM-Kisan Portal for implementation of the scheme (Beneficiary Details
uploading by State)
9.1    Beneficiaries under the scheme are 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t>
        </is>
      </c>
      <c r="H548" s="49" t="inlineStr">
        <is>
          <t>0</t>
        </is>
      </c>
      <c r="I548" s="49" t="str"/>
      <c r="J548" s="55">
        <f>INT((ROW()-2)/50)+1</f>
        <v/>
      </c>
      <c r="K548" s="55">
        <f>IF(H548="","Pending",IF(OR(H548="0",H548="1",H548="2",H548="U"),"Complete","Invalid"))</f>
        <v/>
      </c>
    </row>
    <row r="549" ht="84" customHeight="1">
      <c r="A549" s="43" t="inlineStr">
        <is>
          <t>v2q-005-candidate-16</t>
        </is>
      </c>
      <c r="B549" s="43" t="inlineStr">
        <is>
          <t>v2q-005</t>
        </is>
      </c>
      <c r="C549" s="43" t="inlineStr">
        <is>
          <t>How many days of wage employment does MGNREGA guarantee a rural household in a financial year?</t>
        </is>
      </c>
      <c r="D549" s="43" t="inlineStr">
        <is>
          <t>MGNREGA guarantees at least 100 days of wage employment per financial year to a rural household whose adult members volunteer for unskilled work.</t>
        </is>
      </c>
      <c r="E549" s="43" t="inlineStr">
        <is>
          <t>pilot-v2-doc-pmay-g-0006-d323213e3255</t>
        </is>
      </c>
      <c r="F549" s="43" t="inlineStr">
        <is>
          <t>Pradhan Mantri Awaas Yojana - Gramin</t>
        </is>
      </c>
      <c r="G549" s="43" t="inlineStr">
        <is>
          <t>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H549" s="49" t="inlineStr">
        <is>
          <t>0</t>
        </is>
      </c>
      <c r="I549" s="49" t="str"/>
      <c r="J549" s="55">
        <f>INT((ROW()-2)/50)+1</f>
        <v/>
      </c>
      <c r="K549" s="55">
        <f>IF(H549="","Pending",IF(OR(H549="0",H549="1",H549="2",H549="U"),"Complete","Invalid"))</f>
        <v/>
      </c>
    </row>
    <row r="550" ht="84" customHeight="1">
      <c r="A550" s="43" t="inlineStr">
        <is>
          <t>v2q-010-candidate-06</t>
        </is>
      </c>
      <c r="B550" s="43" t="inlineStr">
        <is>
          <t>v2q-010</t>
        </is>
      </c>
      <c r="C550" s="43" t="inlineStr">
        <is>
          <t>What is the full form of PM POSHAN, and what meal benefit does it provide?</t>
        </is>
      </c>
      <c r="D550" s="43" t="inlineStr">
        <is>
          <t>PM POSHAN means Prime Minister's Overarching Scheme for Holistic Nourishment and provides one hot cooked meal to children in government and government-aided schools.</t>
        </is>
      </c>
      <c r="E550" s="43" t="inlineStr">
        <is>
          <t>pilot-v2-doc-pm-kmy-guidelines-0019-2d8ab840045f</t>
        </is>
      </c>
      <c r="F550" s="43" t="inlineStr">
        <is>
          <t>Pradhan Mantri Kisan Maan Dhan Yojana Operational Guidelines</t>
        </is>
      </c>
      <c r="G550" s="43" t="inlineStr">
        <is>
          <t>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 to time or at any time without the consent of the
nominee, if any, revoke or change the nominee by filling a written notice of the change
online or at the CSC in the prescribed form whereupon an acknowledgement of the
change and the registration of the name of the new Nominee  will be given to the
subscriber online / at the CSC. The New appointment shall take effect on the date the
notice  was  signed  whether  or  not  the  subscriber   is  living  on  the  date  of
acknowledgement of the change without prejudice to the Corporation on account of any
payment made before the acknowledgement of the change.
(d)     If a Nominee shall at the time of his appointment be a minor or otherwise under
disability to give a legal receipt or discharge to the LIC the subscriber must at the time of
such appointment as aforesaid appoint a person who is major and who is capable of
giving a legal receipt or discharge to the Corporation and to whom the benefits are to be
paid for and on behalf 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t>
        </is>
      </c>
      <c r="H550" s="49" t="inlineStr">
        <is>
          <t>0</t>
        </is>
      </c>
      <c r="I550" s="49" t="str"/>
      <c r="J550" s="55">
        <f>INT((ROW()-2)/50)+1</f>
        <v/>
      </c>
      <c r="K550" s="55">
        <f>IF(H550="","Pending",IF(OR(H550="0",H550="1",H550="2",H550="U"),"Complete","Invalid"))</f>
        <v/>
      </c>
    </row>
    <row r="551" ht="84" customHeight="1">
      <c r="A551" s="43" t="inlineStr">
        <is>
          <t>v2q-015-candidate-21</t>
        </is>
      </c>
      <c r="B551" s="43" t="inlineStr">
        <is>
          <t>v2q-015</t>
        </is>
      </c>
      <c r="C551" s="43" t="inlineStr">
        <is>
          <t>Which initiative helps job-seekers and established craftspeople launch small businesses outside agriculture?</t>
        </is>
      </c>
      <c r="D551" s="43" t="inlineStr">
        <is>
          <t>The Prime Minister's Employment Generation Programme supports new micro-enterprises to create self-employment for traditional artisans, unemployed youth, and other eligible beneficiaries.</t>
        </is>
      </c>
      <c r="E551" s="43" t="inlineStr">
        <is>
          <t>pilot-v2-doc-mgnrega-0002-bbbce5f319d4</t>
        </is>
      </c>
      <c r="F551" s="43" t="inlineStr">
        <is>
          <t>Mahatma Gandhi National Rural Employment Guarantee Act</t>
        </is>
      </c>
      <c r="G551"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551" s="49" t="inlineStr">
        <is>
          <t>0</t>
        </is>
      </c>
      <c r="I551" s="49" t="str"/>
      <c r="J551" s="55">
        <f>INT((ROW()-2)/50)+1</f>
        <v/>
      </c>
      <c r="K551" s="55">
        <f>IF(H551="","Pending",IF(OR(H551="0",H551="1",H551="2",H551="U"),"Complete","Invalid"))</f>
        <v/>
      </c>
    </row>
    <row r="552" ht="84" customHeight="1">
      <c r="A552" s="43" t="inlineStr">
        <is>
          <t>v2q-019-candidate-14</t>
        </is>
      </c>
      <c r="B552" s="43" t="inlineStr">
        <is>
          <t>v2q-019</t>
        </is>
      </c>
      <c r="C552" s="43" t="inlineStr">
        <is>
          <t>What role does the Ministry of Petroleum and Natural Gas have in Ujjwala 2.0?</t>
        </is>
      </c>
      <c r="D552" s="43" t="inlineStr">
        <is>
          <t>The ministry introduced Ujjwala 2.0 to provide LPG connections and promote clean cooking fuel among poor, rural, and deprived households.</t>
        </is>
      </c>
      <c r="E552" s="43" t="inlineStr">
        <is>
          <t>pilot-v2-doc-pmfby-0000-d9ad07736d66</t>
        </is>
      </c>
      <c r="F552" s="43" t="inlineStr">
        <is>
          <t>Pradhan Mantri Fasal Bima Yojna (PMFBY)</t>
        </is>
      </c>
      <c r="G552"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552" s="49" t="inlineStr">
        <is>
          <t>0</t>
        </is>
      </c>
      <c r="I552" s="49" t="str"/>
      <c r="J552" s="55">
        <f>INT((ROW()-2)/50)+1</f>
        <v/>
      </c>
      <c r="K552" s="55">
        <f>IF(H552="","Pending",IF(OR(H552="0",H552="1",H552="2",H552="U"),"Complete","Invalid"))</f>
        <v/>
      </c>
    </row>
    <row r="553" ht="84" customHeight="1">
      <c r="A553" s="43" t="inlineStr">
        <is>
          <t>v2q-030-candidate-14</t>
        </is>
      </c>
      <c r="B553" s="43" t="inlineStr">
        <is>
          <t>v2q-030</t>
        </is>
      </c>
      <c r="C553" s="43" t="inlineStr">
        <is>
          <t>What retirement benefit does APY offer, and which life-insurance programme administered through the same department covers death from any cause?</t>
        </is>
      </c>
      <c r="D553" s="43" t="inlineStr">
        <is>
          <t>APY offers guaranteed monthly pension options after age 60. PMJJBY, associated with the same Department of Financial Services, provides life cover for death due to any reason.</t>
        </is>
      </c>
      <c r="E553" s="43" t="inlineStr">
        <is>
          <t>pilot-v2-doc-apy-0001-add48d27a4a2</t>
        </is>
      </c>
      <c r="F553" s="43" t="inlineStr">
        <is>
          <t>Atal Pension Yojana</t>
        </is>
      </c>
      <c r="G553"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553" s="49" t="inlineStr">
        <is>
          <t>2</t>
        </is>
      </c>
      <c r="I553" s="49" t="str"/>
      <c r="J553" s="55">
        <f>INT((ROW()-2)/50)+1</f>
        <v/>
      </c>
      <c r="K553" s="55">
        <f>IF(H553="","Pending",IF(OR(H553="0",H553="1",H553="2",H553="U"),"Complete","Invalid"))</f>
        <v/>
      </c>
    </row>
    <row r="554" ht="84" customHeight="1">
      <c r="A554" s="43" t="inlineStr">
        <is>
          <t>v2q-006-candidate-09</t>
        </is>
      </c>
      <c r="B554" s="43" t="inlineStr">
        <is>
          <t>v2q-006</t>
        </is>
      </c>
      <c r="C554" s="43" t="inlineStr">
        <is>
          <t>What annual hospitalisation cover does AB-PMJAY provide per eligible family?</t>
        </is>
      </c>
      <c r="D554" s="43" t="inlineStr">
        <is>
          <t>AB-PMJAY provides cashless hospitalisation cover of ₹5 lakh per family per year for secondary and tertiary healthcare.</t>
        </is>
      </c>
      <c r="E554" s="43" t="inlineStr">
        <is>
          <t>pilot-v2-doc-pm-kisan-guidelines-0004-b4ff0a728aa0</t>
        </is>
      </c>
      <c r="F554" s="43" t="inlineStr">
        <is>
          <t>PM-KISAN Operational Guidelines</t>
        </is>
      </c>
      <c r="G554" s="43" t="inlineStr">
        <is>
          <t>owner as on 01.02.2019. However,
               in such cases even the transferor of the land will become ineligible if the
              family of the transferor does not have any cultivable land subsequent to
           such a transfer.
5.3.4 The State Governments have to put in place the administrative mechanism
based on their existing land revenue administrative regime to take care of formulations.
There should be  clear cut  responsibility entrusted  to the  officials responsible  for
undertaking mutation of land records.
           i)      In case of correction of land record for recording land ownership accrued
           due to inheritance before 01.12.2018 then the eligibility of the family under
             the scheme shall be properly determined as per the conditions of the
           scheme. The procedure for determining the eligibility as per the exclusion
            clauses shall remain as prescribed.
            ii)     In case of transfer of land ownership due to inheritance, reassessing the
                 eligibility of the family under PM-KISAN -  If the family is no longer eligible,
            then the same have to be updated in the PM-KISAN portal so that the
              benefits can be discontinued subsequently.   In case of family of the
           deceased land owner is still eligible (where spouse or the minor children
            are having cultivable land and eligible as per guidelines), the details of the
          new beneficiary alongwith other details with the fresh self-declarations
           have  to be  provided  to  the  concerned  authorities  for  inclusion   /
             modifications so  that the  benefit  to the  survivors  of the  family can
             continue.
            iii)    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t>
        </is>
      </c>
      <c r="H554" s="49" t="inlineStr">
        <is>
          <t>0</t>
        </is>
      </c>
      <c r="I554" s="49" t="str"/>
      <c r="J554" s="55">
        <f>INT((ROW()-2)/50)+1</f>
        <v/>
      </c>
      <c r="K554" s="55">
        <f>IF(H554="","Pending",IF(OR(H554="0",H554="1",H554="2",H554="U"),"Complete","Invalid"))</f>
        <v/>
      </c>
    </row>
    <row r="555" ht="84" customHeight="1">
      <c r="A555" s="43" t="inlineStr">
        <is>
          <t>v2q-015-candidate-03</t>
        </is>
      </c>
      <c r="B555" s="43" t="inlineStr">
        <is>
          <t>v2q-015</t>
        </is>
      </c>
      <c r="C555" s="43" t="inlineStr">
        <is>
          <t>Which initiative helps job-seekers and established craftspeople launch small businesses outside agriculture?</t>
        </is>
      </c>
      <c r="D555" s="43" t="inlineStr">
        <is>
          <t>The Prime Minister's Employment Generation Programme supports new micro-enterprises to create self-employment for traditional artisans, unemployed youth, and other eligible beneficiaries.</t>
        </is>
      </c>
      <c r="E555" s="43" t="inlineStr">
        <is>
          <t>pilot-v2-doc-pm-kisan-guidelines-0010-3f4cd01daefd</t>
        </is>
      </c>
      <c r="F555" s="43" t="inlineStr">
        <is>
          <t>PM-KISAN Operational Guidelines</t>
        </is>
      </c>
      <c r="G555" s="43" t="inlineStr">
        <is>
          <t>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   will  designate  a  Nodal  Department  for
implementation of the scheme and coordinating with Central Government with regard to
implementation of Income Support Scheme.
8.3  On the lines of PMU at central level, States  / UTs may consider setting up
dedicated Project Monitoring Units at State  / UT Level. 0.125% for the amount of
installments transferred to beneficiaries can be transferred by Central Government to
State / UT Government to cover the expenditure on their PMUs, if established and for
meeting  other  related  administrative expenses  including  cost  to be  incurred  for
procurement  of  stationary,  field  verification,   filling  of  prescribed  formats,  their
certification and its uploading as well as incentive for field functionaries, publicity, etc.
States / UTs will furnish the details of the account to which Administrative Charges are
credited by the Central Government. The administrative charges payable to the States /
UTs will be provided by Government of India based on the volume of work and the
number of beneficiaries.
                                         7
9.    PM-Kisan Portal for implementation of the scheme (Beneficiary Details
uploading by State)
9.1    Beneficiaries under the scheme are 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t>
        </is>
      </c>
      <c r="H555" s="49" t="inlineStr">
        <is>
          <t>0</t>
        </is>
      </c>
      <c r="I555" s="49" t="str"/>
      <c r="J555" s="55">
        <f>INT((ROW()-2)/50)+1</f>
        <v/>
      </c>
      <c r="K555" s="55">
        <f>IF(H555="","Pending",IF(OR(H555="0",H555="1",H555="2",H555="U"),"Complete","Invalid"))</f>
        <v/>
      </c>
    </row>
    <row r="556" ht="84" customHeight="1">
      <c r="A556" s="43" t="inlineStr">
        <is>
          <t>v2q-010-candidate-01</t>
        </is>
      </c>
      <c r="B556" s="43" t="inlineStr">
        <is>
          <t>v2q-010</t>
        </is>
      </c>
      <c r="C556" s="43" t="inlineStr">
        <is>
          <t>What is the full form of PM POSHAN, and what meal benefit does it provide?</t>
        </is>
      </c>
      <c r="D556" s="43" t="inlineStr">
        <is>
          <t>PM POSHAN means Prime Minister's Overarching Scheme for Holistic Nourishment and provides one hot cooked meal to children in government and government-aided schools.</t>
        </is>
      </c>
      <c r="E556" s="43" t="inlineStr">
        <is>
          <t>pilot-v2-doc-pmfby-0000-d9ad07736d66</t>
        </is>
      </c>
      <c r="F556" s="43" t="inlineStr">
        <is>
          <t>Pradhan Mantri Fasal Bima Yojna (PMFBY)</t>
        </is>
      </c>
      <c r="G556"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556" s="49" t="inlineStr">
        <is>
          <t>0</t>
        </is>
      </c>
      <c r="I556" s="49" t="str"/>
      <c r="J556" s="55">
        <f>INT((ROW()-2)/50)+1</f>
        <v/>
      </c>
      <c r="K556" s="55">
        <f>IF(H556="","Pending",IF(OR(H556="0",H556="1",H556="2",H556="U"),"Complete","Invalid"))</f>
        <v/>
      </c>
    </row>
    <row r="557" ht="84" customHeight="1">
      <c r="A557" s="43" t="inlineStr">
        <is>
          <t>v2q-007-candidate-11</t>
        </is>
      </c>
      <c r="B557" s="43" t="inlineStr">
        <is>
          <t>v2q-007</t>
        </is>
      </c>
      <c r="C557" s="43" t="inlineStr">
        <is>
          <t>What is the full form of PMJJBY, and which event does its life insurance cover?</t>
        </is>
      </c>
      <c r="D557" s="43" t="inlineStr">
        <is>
          <t>PMJJBY stands for Pradhan Mantri Jeevan Jyoti Bima Yojana and provides life-insurance cover for death due to any reason.</t>
        </is>
      </c>
      <c r="E557" s="43" t="inlineStr">
        <is>
          <t>pilot-v2-doc-pm-kmy-guidelines-0018-67494b680dda</t>
        </is>
      </c>
      <c r="F557" s="43" t="inlineStr">
        <is>
          <t>Pradhan Mantri Kisan Maan Dhan Yojana Operational Guidelines</t>
        </is>
      </c>
      <c r="G557" s="43" t="inlineStr">
        <is>
          <t>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 benefits under the Scheme shall be payable only in India.
Should anything contained in these guidelines, or in any amendment made thereof be
repugnant to any provisions of the Income Tax Act, 1961 or the Income Tax Rules, 1962,
it shall be ineffective to the extent of such repugnance, any such repugnance in so far as
it relates to Income Tax Act 1961 and the Rules there under shall be removed by the
DAC&amp;FW.
                                              12
16.  DEDUCTION OF SUMS DUE TO INCOME TAX AUTHORITIES:
Income Tax: In any case where the DAC&amp;FW or the Corporation is liable to account to
the Income Tax Authorities for Income Tax on any payments due under the Scheme, the
Corporation shall deduct a sum equal to the tax from such payment and shall not be
liable to the subscribers for the sum so deducted.
17.  NOMINATION:
(a)    Every  Subscriber  shall  appoint  spouse  or  dependants  as  Beneficiary  or
Beneficiaries under the Scheme to receive the benefits hereunder in the event of the
death of the subscriber.
(b)   Every appointment / nomination to be made under 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t>
        </is>
      </c>
      <c r="H557" s="49" t="inlineStr">
        <is>
          <t>0</t>
        </is>
      </c>
      <c r="I557" s="49" t="str"/>
      <c r="J557" s="55">
        <f>INT((ROW()-2)/50)+1</f>
        <v/>
      </c>
      <c r="K557" s="55">
        <f>IF(H557="","Pending",IF(OR(H557="0",H557="1",H557="2",H557="U"),"Complete","Invalid"))</f>
        <v/>
      </c>
    </row>
    <row r="558" ht="84" customHeight="1">
      <c r="A558" s="43" t="inlineStr">
        <is>
          <t>v2q-008-candidate-14</t>
        </is>
      </c>
      <c r="B558" s="43" t="inlineStr">
        <is>
          <t>v2q-008</t>
        </is>
      </c>
      <c r="C558" s="43" t="inlineStr">
        <is>
          <t>Which accident-insurance programme is abbreviated PMSBY, and which outcomes trigger its cover?</t>
        </is>
      </c>
      <c r="D558" s="43" t="inlineStr">
        <is>
          <t>PMSBY stands for Pradhan Mantri Suraksha Bima Yojana and covers accidental death and disability.</t>
        </is>
      </c>
      <c r="E558" s="43" t="inlineStr">
        <is>
          <t>pilot-v2-doc-pmfby-0004-25f813969307</t>
        </is>
      </c>
      <c r="F558" s="43" t="inlineStr">
        <is>
          <t>Pradhan Mantri Fasal Bima Yojna (PMFBY)</t>
        </is>
      </c>
      <c r="G558" s="43" t="inlineStr">
        <is>
          <t>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‘Application Status’ option on the home page..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t>
        </is>
      </c>
      <c r="H558" s="49" t="inlineStr">
        <is>
          <t>0</t>
        </is>
      </c>
      <c r="I558" s="49" t="str"/>
      <c r="J558" s="55">
        <f>INT((ROW()-2)/50)+1</f>
        <v/>
      </c>
      <c r="K558" s="55">
        <f>IF(H558="","Pending",IF(OR(H558="0",H558="1",H558="2",H558="U"),"Complete","Invalid"))</f>
        <v/>
      </c>
    </row>
    <row r="559" ht="84" customHeight="1">
      <c r="A559" s="43" t="inlineStr">
        <is>
          <t>v2q-034-candidate-16</t>
        </is>
      </c>
      <c r="B559" s="43" t="inlineStr">
        <is>
          <t>v2q-034</t>
        </is>
      </c>
      <c r="C559" s="43" t="inlineStr">
        <is>
          <t>How do three programmes meet distinct household needs for rural housing, clean cooking, and food security?</t>
        </is>
      </c>
      <c r="D559" s="43" t="inlineStr">
        <is>
          <t>PMAY-G supports pucca rural housing with basic amenities; PMUY provides LPG access to deprived households replacing traditional cooking fuels; PMGKAY provides free foodgrains to eligible AAY and PHH ration-card holders.</t>
        </is>
      </c>
      <c r="E559" s="43" t="inlineStr">
        <is>
          <t>pilot-v2-doc-mgnrega-0000-7e6d80b47566</t>
        </is>
      </c>
      <c r="F559" s="43" t="inlineStr">
        <is>
          <t>Mahatma Gandhi National Rural Employment Guarantee Act</t>
        </is>
      </c>
      <c r="G559"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559" s="49" t="inlineStr">
        <is>
          <t>0</t>
        </is>
      </c>
      <c r="I559" s="49" t="str"/>
      <c r="J559" s="55">
        <f>INT((ROW()-2)/50)+1</f>
        <v/>
      </c>
      <c r="K559" s="55">
        <f>IF(H559="","Pending",IF(OR(H559="0",H559="1",H559="2",H559="U"),"Complete","Invalid"))</f>
        <v/>
      </c>
    </row>
    <row r="560" ht="84" customHeight="1">
      <c r="A560" s="43" t="inlineStr">
        <is>
          <t>v2q-010-candidate-20</t>
        </is>
      </c>
      <c r="B560" s="43" t="inlineStr">
        <is>
          <t>v2q-010</t>
        </is>
      </c>
      <c r="C560" s="43" t="inlineStr">
        <is>
          <t>What is the full form of PM POSHAN, and what meal benefit does it provide?</t>
        </is>
      </c>
      <c r="D560" s="43" t="inlineStr">
        <is>
          <t>PM POSHAN means Prime Minister's Overarching Scheme for Holistic Nourishment and provides one hot cooked meal to children in government and government-aided schools.</t>
        </is>
      </c>
      <c r="E560" s="43" t="inlineStr">
        <is>
          <t>pilot-v2-doc-mgnrega-0000-7e6d80b47566</t>
        </is>
      </c>
      <c r="F560" s="43" t="inlineStr">
        <is>
          <t>Mahatma Gandhi National Rural Employment Guarantee Act</t>
        </is>
      </c>
      <c r="G560"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560" s="49" t="inlineStr">
        <is>
          <t>0</t>
        </is>
      </c>
      <c r="I560" s="49" t="str"/>
      <c r="J560" s="55">
        <f>INT((ROW()-2)/50)+1</f>
        <v/>
      </c>
      <c r="K560" s="55">
        <f>IF(H560="","Pending",IF(OR(H560="0",H560="1",H560="2",H560="U"),"Complete","Invalid"))</f>
        <v/>
      </c>
    </row>
    <row r="561" ht="84" customHeight="1">
      <c r="A561" s="43" t="inlineStr">
        <is>
          <t>v2q-006-candidate-10</t>
        </is>
      </c>
      <c r="B561" s="43" t="inlineStr">
        <is>
          <t>v2q-006</t>
        </is>
      </c>
      <c r="C561" s="43" t="inlineStr">
        <is>
          <t>What annual hospitalisation cover does AB-PMJAY provide per eligible family?</t>
        </is>
      </c>
      <c r="D561" s="43" t="inlineStr">
        <is>
          <t>AB-PMJAY provides cashless hospitalisation cover of ₹5 lakh per family per year for secondary and tertiary healthcare.</t>
        </is>
      </c>
      <c r="E561" s="43" t="inlineStr">
        <is>
          <t>pilot-v2-doc-pmay-u-0000-0b5e95b2690a</t>
        </is>
      </c>
      <c r="F561" s="43" t="inlineStr">
        <is>
          <t>Pradhan Mantri Awas Yojana - Urban</t>
        </is>
      </c>
      <c r="G561"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561" s="49" t="inlineStr">
        <is>
          <t>0</t>
        </is>
      </c>
      <c r="I561" s="49" t="str"/>
      <c r="J561" s="55">
        <f>INT((ROW()-2)/50)+1</f>
        <v/>
      </c>
      <c r="K561" s="55">
        <f>IF(H561="","Pending",IF(OR(H561="0",H561="1",H561="2",H561="U"),"Complete","Invalid"))</f>
        <v/>
      </c>
    </row>
    <row r="562" ht="84" customHeight="1">
      <c r="A562" s="43" t="inlineStr">
        <is>
          <t>v2q-006-candidate-08</t>
        </is>
      </c>
      <c r="B562" s="43" t="inlineStr">
        <is>
          <t>v2q-006</t>
        </is>
      </c>
      <c r="C562" s="43" t="inlineStr">
        <is>
          <t>What annual hospitalisation cover does AB-PMJAY provide per eligible family?</t>
        </is>
      </c>
      <c r="D562" s="43" t="inlineStr">
        <is>
          <t>AB-PMJAY provides cashless hospitalisation cover of ₹5 lakh per family per year for secondary and tertiary healthcare.</t>
        </is>
      </c>
      <c r="E562" s="43" t="inlineStr">
        <is>
          <t>pilot-v2-doc-ab-pmjay-0002-58c80bb24a6c</t>
        </is>
      </c>
      <c r="F562" s="43" t="inlineStr">
        <is>
          <t>Ayushman Bharat - Pradhan Mantri Jan Arogya Yojana</t>
        </is>
      </c>
      <c r="G562"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562" s="49" t="inlineStr">
        <is>
          <t>1</t>
        </is>
      </c>
      <c r="I562" s="49" t="str"/>
      <c r="J562" s="55">
        <f>INT((ROW()-2)/50)+1</f>
        <v/>
      </c>
      <c r="K562" s="55">
        <f>IF(H562="","Pending",IF(OR(H562="0",H562="1",H562="2",H562="U"),"Complete","Invalid"))</f>
        <v/>
      </c>
    </row>
    <row r="563" ht="84" customHeight="1">
      <c r="A563" s="43" t="inlineStr">
        <is>
          <t>v2q-015-candidate-19</t>
        </is>
      </c>
      <c r="B563" s="43" t="inlineStr">
        <is>
          <t>v2q-015</t>
        </is>
      </c>
      <c r="C563" s="43" t="inlineStr">
        <is>
          <t>Which initiative helps job-seekers and established craftspeople launch small businesses outside agriculture?</t>
        </is>
      </c>
      <c r="D563" s="43" t="inlineStr">
        <is>
          <t>The Prime Minister's Employment Generation Programme supports new micro-enterprises to create self-employment for traditional artisans, unemployed youth, and other eligible beneficiaries.</t>
        </is>
      </c>
      <c r="E563" s="43" t="inlineStr">
        <is>
          <t>pilot-v2-doc-ab-pmjay-0000-94c82a474579</t>
        </is>
      </c>
      <c r="F563" s="43" t="inlineStr">
        <is>
          <t>Ayushman Bharat - Pradhan Mantri Jan Arogya Yojana</t>
        </is>
      </c>
      <c r="G563"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563" s="49" t="inlineStr">
        <is>
          <t>0</t>
        </is>
      </c>
      <c r="I563" s="49" t="str"/>
      <c r="J563" s="55">
        <f>INT((ROW()-2)/50)+1</f>
        <v/>
      </c>
      <c r="K563" s="55">
        <f>IF(H563="","Pending",IF(OR(H563="0",H563="1",H563="2",H563="U"),"Complete","Invalid"))</f>
        <v/>
      </c>
    </row>
    <row r="564" ht="84" customHeight="1">
      <c r="A564" s="43" t="inlineStr">
        <is>
          <t>v2q-023-candidate-04</t>
        </is>
      </c>
      <c r="B564" s="43" t="inlineStr">
        <is>
          <t>v2q-023</t>
        </is>
      </c>
      <c r="C564" s="43" t="inlineStr">
        <is>
          <t>What role does a Gram Panchayat play when a household registers for MGNREGA?</t>
        </is>
      </c>
      <c r="D564" s="43" t="inlineStr">
        <is>
          <t>A household may apply through its local Gram Panchayat, which verifies residence, household identity, and adult membership details.</t>
        </is>
      </c>
      <c r="E564" s="43" t="inlineStr">
        <is>
          <t>pilot-v2-doc-pmkvy-sp-0003-738795a9ef96</t>
        </is>
      </c>
      <c r="F564" s="43" t="inlineStr">
        <is>
          <t>Pradhan Mantri Kaushal Vikas Yojana 4.0- Special Projects</t>
        </is>
      </c>
      <c r="G564"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564" s="49" t="inlineStr">
        <is>
          <t>0</t>
        </is>
      </c>
      <c r="I564" s="49" t="str"/>
      <c r="J564" s="55">
        <f>INT((ROW()-2)/50)+1</f>
        <v/>
      </c>
      <c r="K564" s="55">
        <f>IF(H564="","Pending",IF(OR(H564="0",H564="1",H564="2",H564="U"),"Complete","Invalid"))</f>
        <v/>
      </c>
    </row>
    <row r="565" ht="84" customHeight="1">
      <c r="A565" s="43" t="inlineStr">
        <is>
          <t>v2q-008-candidate-06</t>
        </is>
      </c>
      <c r="B565" s="43" t="inlineStr">
        <is>
          <t>v2q-008</t>
        </is>
      </c>
      <c r="C565" s="43" t="inlineStr">
        <is>
          <t>Which accident-insurance programme is abbreviated PMSBY, and which outcomes trigger its cover?</t>
        </is>
      </c>
      <c r="D565" s="43" t="inlineStr">
        <is>
          <t>PMSBY stands for Pradhan Mantri Suraksha Bima Yojana and covers accidental death and disability.</t>
        </is>
      </c>
      <c r="E565" s="43" t="inlineStr">
        <is>
          <t>pilot-v2-doc-pmjdy-0001-95c3d046d79a</t>
        </is>
      </c>
      <c r="F565" s="43" t="inlineStr">
        <is>
          <t>Pradhan Mantri Jan Dhan Yojana</t>
        </is>
      </c>
      <c r="G565" s="43"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is>
      </c>
      <c r="H565" s="49" t="inlineStr">
        <is>
          <t>0</t>
        </is>
      </c>
      <c r="I565" s="49" t="str"/>
      <c r="J565" s="55">
        <f>INT((ROW()-2)/50)+1</f>
        <v/>
      </c>
      <c r="K565" s="55">
        <f>IF(H565="","Pending",IF(OR(H565="0",H565="1",H565="2",H565="U"),"Complete","Invalid"))</f>
        <v/>
      </c>
    </row>
    <row r="566" ht="84" customHeight="1">
      <c r="A566" s="43" t="inlineStr">
        <is>
          <t>v2q-025-candidate-12</t>
        </is>
      </c>
      <c r="B566" s="43" t="inlineStr">
        <is>
          <t>v2q-025</t>
        </is>
      </c>
      <c r="C566" s="43" t="inlineStr">
        <is>
          <t>What banking function does PMJDY provide, and which other programme from its ministry finances income-generating micro-enterprises?</t>
        </is>
      </c>
      <c r="D566" s="43" t="inlineStr">
        <is>
          <t>PMJDY provides universal banking services for unbanked households. PMMY, under the same Ministry of Finance, provides micro-credit for income-generating micro-enterprises.</t>
        </is>
      </c>
      <c r="E566" s="43" t="inlineStr">
        <is>
          <t>pilot-v2-doc-pmegp-0003-43256e8e6645</t>
        </is>
      </c>
      <c r="F566" s="43" t="inlineStr">
        <is>
          <t>Prime Minister's Employment Generation Programme</t>
        </is>
      </c>
      <c r="G566"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566" s="49" t="inlineStr">
        <is>
          <t>0</t>
        </is>
      </c>
      <c r="I566" s="49" t="str"/>
      <c r="J566" s="55">
        <f>INT((ROW()-2)/50)+1</f>
        <v/>
      </c>
      <c r="K566" s="55">
        <f>IF(H566="","Pending",IF(OR(H566="0",H566="1",H566="2",H566="U"),"Complete","Invalid"))</f>
        <v/>
      </c>
    </row>
    <row r="567" ht="84" customHeight="1">
      <c r="A567" s="43" t="inlineStr">
        <is>
          <t>v2q-015-candidate-08</t>
        </is>
      </c>
      <c r="B567" s="43" t="inlineStr">
        <is>
          <t>v2q-015</t>
        </is>
      </c>
      <c r="C567" s="43" t="inlineStr">
        <is>
          <t>Which initiative helps job-seekers and established craftspeople launch small businesses outside agriculture?</t>
        </is>
      </c>
      <c r="D567" s="43" t="inlineStr">
        <is>
          <t>The Prime Minister's Employment Generation Programme supports new micro-enterprises to create self-employment for traditional artisans, unemployed youth, and other eligible beneficiaries.</t>
        </is>
      </c>
      <c r="E567" s="43" t="inlineStr">
        <is>
          <t>pilot-v2-doc-pm-kmy-guidelines-0002-ae644e1f8c00</t>
        </is>
      </c>
      <c r="F567" s="43" t="inlineStr">
        <is>
          <t>Pradhan Mantri Kisan Maan Dhan Yojana Operational Guidelines</t>
        </is>
      </c>
      <c r="G567"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567" s="49" t="inlineStr">
        <is>
          <t>0</t>
        </is>
      </c>
      <c r="I567" s="49" t="str"/>
      <c r="J567" s="55">
        <f>INT((ROW()-2)/50)+1</f>
        <v/>
      </c>
      <c r="K567" s="55">
        <f>IF(H567="","Pending",IF(OR(H567="0",H567="1",H567="2",H567="U"),"Complete","Invalid"))</f>
        <v/>
      </c>
    </row>
    <row r="568" ht="84" customHeight="1">
      <c r="A568" s="43" t="inlineStr">
        <is>
          <t>v2q-010-candidate-05</t>
        </is>
      </c>
      <c r="B568" s="43" t="inlineStr">
        <is>
          <t>v2q-010</t>
        </is>
      </c>
      <c r="C568" s="43" t="inlineStr">
        <is>
          <t>What is the full form of PM POSHAN, and what meal benefit does it provide?</t>
        </is>
      </c>
      <c r="D568" s="43" t="inlineStr">
        <is>
          <t>PM POSHAN means Prime Minister's Overarching Scheme for Holistic Nourishment and provides one hot cooked meal to children in government and government-aided schools.</t>
        </is>
      </c>
      <c r="E568" s="43" t="inlineStr">
        <is>
          <t>pilot-v2-doc-pm-kmy-guidelines-0000-0582a8323d67</t>
        </is>
      </c>
      <c r="F568" s="43" t="inlineStr">
        <is>
          <t>Pradhan Mantri Kisan Maan Dhan Yojana Operational Guidelines</t>
        </is>
      </c>
      <c r="G568"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568" s="49" t="inlineStr">
        <is>
          <t>0</t>
        </is>
      </c>
      <c r="I568" s="49" t="str"/>
      <c r="J568" s="55">
        <f>INT((ROW()-2)/50)+1</f>
        <v/>
      </c>
      <c r="K568" s="55">
        <f>IF(H568="","Pending",IF(OR(H568="0",H568="1",H568="2",H568="U"),"Complete","Invalid"))</f>
        <v/>
      </c>
    </row>
    <row r="569" ht="84" customHeight="1">
      <c r="A569" s="43" t="inlineStr">
        <is>
          <t>v2q-031-candidate-18</t>
        </is>
      </c>
      <c r="B569" s="43" t="inlineStr">
        <is>
          <t>v2q-031</t>
        </is>
      </c>
      <c r="C569" s="43" t="inlineStr">
        <is>
          <t>How do three finance-sector programmes combine basic banking, life insurance, and accident insurance?</t>
        </is>
      </c>
      <c r="D569" s="43" t="inlineStr">
        <is>
          <t>PMJDY provides universal banking and access to financial services; PMJJBY supplies life cover for death from any cause; PMSBY supplies accidental-death and disability cover.</t>
        </is>
      </c>
      <c r="E569" s="43" t="inlineStr">
        <is>
          <t>pilot-v2-doc-apy-0000-c43dd88d7899</t>
        </is>
      </c>
      <c r="F569" s="43" t="inlineStr">
        <is>
          <t>Atal Pension Yojana</t>
        </is>
      </c>
      <c r="G569"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569" s="49" t="inlineStr">
        <is>
          <t>0</t>
        </is>
      </c>
      <c r="I569" s="49" t="str"/>
      <c r="J569" s="55">
        <f>INT((ROW()-2)/50)+1</f>
        <v/>
      </c>
      <c r="K569" s="55">
        <f>IF(H569="","Pending",IF(OR(H569="0",H569="1",H569="2",H569="U"),"Complete","Invalid"))</f>
        <v/>
      </c>
    </row>
    <row r="570" ht="84" customHeight="1">
      <c r="A570" s="43" t="inlineStr">
        <is>
          <t>v2q-015-candidate-18</t>
        </is>
      </c>
      <c r="B570" s="43" t="inlineStr">
        <is>
          <t>v2q-015</t>
        </is>
      </c>
      <c r="C570" s="43" t="inlineStr">
        <is>
          <t>Which initiative helps job-seekers and established craftspeople launch small businesses outside agriculture?</t>
        </is>
      </c>
      <c r="D570" s="43" t="inlineStr">
        <is>
          <t>The Prime Minister's Employment Generation Programme supports new micro-enterprises to create self-employment for traditional artisans, unemployed youth, and other eligible beneficiaries.</t>
        </is>
      </c>
      <c r="E570" s="43" t="inlineStr">
        <is>
          <t>pilot-v2-doc-pmmy-0001-6035d0d102e8</t>
        </is>
      </c>
      <c r="F570" s="43" t="inlineStr">
        <is>
          <t>Pradhan Mantri Mudra Yojana</t>
        </is>
      </c>
      <c r="G570" s="43" t="inlineStr">
        <is>
          <t>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is>
      </c>
      <c r="H570" s="49" t="inlineStr">
        <is>
          <t>0</t>
        </is>
      </c>
      <c r="I570" s="49" t="str"/>
      <c r="J570" s="55">
        <f>INT((ROW()-2)/50)+1</f>
        <v/>
      </c>
      <c r="K570" s="55">
        <f>IF(H570="","Pending",IF(OR(H570="0",H570="1",H570="2",H570="U"),"Complete","Invalid"))</f>
        <v/>
      </c>
    </row>
    <row r="571" ht="84" customHeight="1">
      <c r="A571" s="43" t="inlineStr">
        <is>
          <t>v2q-001-candidate-14</t>
        </is>
      </c>
      <c r="B571" s="43" t="inlineStr">
        <is>
          <t>v2q-001</t>
        </is>
      </c>
      <c r="C571" s="43" t="inlineStr">
        <is>
          <t>What is the minimum house size specified under PMAY-G?</t>
        </is>
      </c>
      <c r="D571" s="43" t="inlineStr">
        <is>
          <t>The minimum house size is 25 square metres, including a dedicated hygienic cooking area.</t>
        </is>
      </c>
      <c r="E571" s="43" t="inlineStr">
        <is>
          <t>pilot-v2-doc-pmay-g-0006-d323213e3255</t>
        </is>
      </c>
      <c r="F571" s="43" t="inlineStr">
        <is>
          <t>Pradhan Mantri Awaas Yojana - Gramin</t>
        </is>
      </c>
      <c r="G571" s="43" t="inlineStr">
        <is>
          <t>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H571" s="49" t="inlineStr">
        <is>
          <t>1</t>
        </is>
      </c>
      <c r="I571" s="49" t="str"/>
      <c r="J571" s="55">
        <f>INT((ROW()-2)/50)+1</f>
        <v/>
      </c>
      <c r="K571" s="55">
        <f>IF(H571="","Pending",IF(OR(H571="0",H571="1",H571="2",H571="U"),"Complete","Invalid"))</f>
        <v/>
      </c>
    </row>
    <row r="572" ht="84" customHeight="1">
      <c r="A572" s="43" t="inlineStr">
        <is>
          <t>v2q-015-candidate-06</t>
        </is>
      </c>
      <c r="B572" s="43" t="inlineStr">
        <is>
          <t>v2q-015</t>
        </is>
      </c>
      <c r="C572" s="43" t="inlineStr">
        <is>
          <t>Which initiative helps job-seekers and established craftspeople launch small businesses outside agriculture?</t>
        </is>
      </c>
      <c r="D572" s="43" t="inlineStr">
        <is>
          <t>The Prime Minister's Employment Generation Programme supports new micro-enterprises to create self-employment for traditional artisans, unemployed youth, and other eligible beneficiaries.</t>
        </is>
      </c>
      <c r="E572" s="43" t="inlineStr">
        <is>
          <t>pilot-v2-doc-pm-kmy-guidelines-0001-5d83566dbb68</t>
        </is>
      </c>
      <c r="F572" s="43" t="inlineStr">
        <is>
          <t>Pradhan Mantri Kisan Maan Dhan Yojana Operational Guidelines</t>
        </is>
      </c>
      <c r="G572" s="43" t="inlineStr">
        <is>
          <t>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is>
      </c>
      <c r="H572" s="49" t="inlineStr">
        <is>
          <t>0</t>
        </is>
      </c>
      <c r="I572" s="49" t="str"/>
      <c r="J572" s="55">
        <f>INT((ROW()-2)/50)+1</f>
        <v/>
      </c>
      <c r="K572" s="55">
        <f>IF(H572="","Pending",IF(OR(H572="0",H572="1",H572="2",H572="U"),"Complete","Invalid"))</f>
        <v/>
      </c>
    </row>
    <row r="573" ht="84" customHeight="1">
      <c r="A573" s="43" t="inlineStr">
        <is>
          <t>v2q-014-candidate-13</t>
        </is>
      </c>
      <c r="B573" s="43" t="inlineStr">
        <is>
          <t>v2q-014</t>
        </is>
      </c>
      <c r="C573" s="43" t="inlineStr">
        <is>
          <t>Under the national ration programme, what monthly cereal allocation goes to families in the poorest entitlement tier and to each person in the priority tier?</t>
        </is>
      </c>
      <c r="D573" s="43" t="inlineStr">
        <is>
          <t>AAY families receive 35 kilograms per family per month, while PHH beneficiaries receive 5 kilograms per person per month.</t>
        </is>
      </c>
      <c r="E573" s="43" t="inlineStr">
        <is>
          <t>pilot-v2-doc-pmay-g-0002-e08c1e347071</t>
        </is>
      </c>
      <c r="F573" s="43" t="inlineStr">
        <is>
          <t>Pradhan Mantri Awaas Yojana - Gramin</t>
        </is>
      </c>
      <c r="G573"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573" s="49" t="inlineStr">
        <is>
          <t>0</t>
        </is>
      </c>
      <c r="I573" s="49" t="str"/>
      <c r="J573" s="55">
        <f>INT((ROW()-2)/50)+1</f>
        <v/>
      </c>
      <c r="K573" s="55">
        <f>IF(H573="","Pending",IF(OR(H573="0",H573="1",H573="2",H573="U"),"Complete","Invalid"))</f>
        <v/>
      </c>
    </row>
    <row r="574" ht="84" customHeight="1">
      <c r="A574" s="43" t="inlineStr">
        <is>
          <t>v2q-001-candidate-11</t>
        </is>
      </c>
      <c r="B574" s="43" t="inlineStr">
        <is>
          <t>v2q-001</t>
        </is>
      </c>
      <c r="C574" s="43" t="inlineStr">
        <is>
          <t>What is the minimum house size specified under PMAY-G?</t>
        </is>
      </c>
      <c r="D574" s="43" t="inlineStr">
        <is>
          <t>The minimum house size is 25 square metres, including a dedicated hygienic cooking area.</t>
        </is>
      </c>
      <c r="E574" s="43" t="inlineStr">
        <is>
          <t>pilot-v2-doc-pmay-g-0000-d4162175877d</t>
        </is>
      </c>
      <c r="F574" s="43" t="inlineStr">
        <is>
          <t>Pradhan Mantri Awaas Yojana - Gramin</t>
        </is>
      </c>
      <c r="G574"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574" s="49" t="inlineStr">
        <is>
          <t>2</t>
        </is>
      </c>
      <c r="I574" s="49" t="str"/>
      <c r="J574" s="55">
        <f>INT((ROW()-2)/50)+1</f>
        <v/>
      </c>
      <c r="K574" s="55">
        <f>IF(H574="","Pending",IF(OR(H574="0",H574="1",H574="2",H574="U"),"Complete","Invalid"))</f>
        <v/>
      </c>
    </row>
    <row r="575" ht="84" customHeight="1">
      <c r="A575" s="43" t="inlineStr">
        <is>
          <t>v2q-030-candidate-17</t>
        </is>
      </c>
      <c r="B575" s="43" t="inlineStr">
        <is>
          <t>v2q-030</t>
        </is>
      </c>
      <c r="C575" s="43" t="inlineStr">
        <is>
          <t>What retirement benefit does APY offer, and which life-insurance programme administered through the same department covers death from any cause?</t>
        </is>
      </c>
      <c r="D575" s="43" t="inlineStr">
        <is>
          <t>APY offers guaranteed monthly pension options after age 60. PMJJBY, associated with the same Department of Financial Services, provides life cover for death due to any reason.</t>
        </is>
      </c>
      <c r="E575" s="43" t="inlineStr">
        <is>
          <t>pilot-v2-doc-pm-kmy-guidelines-0020-27037b9fe8a1</t>
        </is>
      </c>
      <c r="F575" s="43" t="inlineStr">
        <is>
          <t>Pradhan Mantri Kisan Maan Dhan Yojana Operational Guidelines</t>
        </is>
      </c>
      <c r="G575"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575" s="49" t="inlineStr">
        <is>
          <t>0</t>
        </is>
      </c>
      <c r="I575" s="49" t="str"/>
      <c r="J575" s="55">
        <f>INT((ROW()-2)/50)+1</f>
        <v/>
      </c>
      <c r="K575" s="55">
        <f>IF(H575="","Pending",IF(OR(H575="0",H575="1",H575="2",H575="U"),"Complete","Invalid"))</f>
        <v/>
      </c>
    </row>
    <row r="576" ht="84" customHeight="1">
      <c r="A576" s="43" t="inlineStr">
        <is>
          <t>v2q-033-candidate-15</t>
        </is>
      </c>
      <c r="B576" s="43" t="inlineStr">
        <is>
          <t>v2q-033</t>
        </is>
      </c>
      <c r="C576" s="43" t="inlineStr">
        <is>
          <t>How do three programmes support micro-enterprises, new enterprise creation, and street-vendor livelihoods through different financial mechanisms?</t>
        </is>
      </c>
      <c r="D576" s="43" t="inlineStr">
        <is>
          <t>PMMY provides micro-credit to eligible micro-enterprises; PMEGP uses a credit-linked subsidy to establish new micro-enterprises; PM SVANidhi provides street vendors collateral-free working-capital loans, interest subsidy, and digital-payment incentives.</t>
        </is>
      </c>
      <c r="E576" s="43" t="inlineStr">
        <is>
          <t>pilot-v2-doc-pm-svanidhi-0002-280acc14217b</t>
        </is>
      </c>
      <c r="F576" s="43" t="inlineStr">
        <is>
          <t>PM Street Vendor’s AtmaNirbhar Nidhi (PM SVANidhi)</t>
        </is>
      </c>
      <c r="G576" s="43" t="inlineStr">
        <is>
          <t>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is>
      </c>
      <c r="H576" s="49" t="inlineStr">
        <is>
          <t>2</t>
        </is>
      </c>
      <c r="I576" s="49" t="str"/>
      <c r="J576" s="55">
        <f>INT((ROW()-2)/50)+1</f>
        <v/>
      </c>
      <c r="K576" s="55">
        <f>IF(H576="","Pending",IF(OR(H576="0",H576="1",H576="2",H576="U"),"Complete","Invalid"))</f>
        <v/>
      </c>
    </row>
    <row r="577" ht="84" customHeight="1">
      <c r="A577" s="43" t="inlineStr">
        <is>
          <t>v2q-029-candidate-22</t>
        </is>
      </c>
      <c r="B577" s="43" t="inlineStr">
        <is>
          <t>v2q-029</t>
        </is>
      </c>
      <c r="C577" s="43" t="inlineStr">
        <is>
          <t>What migrant-focused facility distinguishes Ujjwala 2.0, and what clean-cooking transition was established by its predecessor programme?</t>
        </is>
      </c>
      <c r="D577" s="43" t="inlineStr">
        <is>
          <t>Ujjwala 2.0 added 1.6 crore LPG connections with a special facility for migrant households. Its predecessor, Pradhan Mantri Ujjwala Yojana, sought to replace traditional cooking fuels with LPG access for rural and deprived households.</t>
        </is>
      </c>
      <c r="E577" s="43" t="inlineStr">
        <is>
          <t>pilot-v2-doc-apy-0002-66a5cc4017fb</t>
        </is>
      </c>
      <c r="F577" s="43" t="inlineStr">
        <is>
          <t>Atal Pension Yojana</t>
        </is>
      </c>
      <c r="G577"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577" s="49" t="inlineStr">
        <is>
          <t>0</t>
        </is>
      </c>
      <c r="I577" s="49" t="str"/>
      <c r="J577" s="55">
        <f>INT((ROW()-2)/50)+1</f>
        <v/>
      </c>
      <c r="K577" s="55">
        <f>IF(H577="","Pending",IF(OR(H577="0",H577="1",H577="2",H577="U"),"Complete","Invalid"))</f>
        <v/>
      </c>
    </row>
    <row r="578" ht="84" customHeight="1">
      <c r="A578" s="43" t="inlineStr">
        <is>
          <t>v2q-014-candidate-14</t>
        </is>
      </c>
      <c r="B578" s="43" t="inlineStr">
        <is>
          <t>v2q-014</t>
        </is>
      </c>
      <c r="C578" s="43" t="inlineStr">
        <is>
          <t>Under the national ration programme, what monthly cereal allocation goes to families in the poorest entitlement tier and to each person in the priority tier?</t>
        </is>
      </c>
      <c r="D578" s="43" t="inlineStr">
        <is>
          <t>AAY families receive 35 kilograms per family per month, while PHH beneficiaries receive 5 kilograms per person per month.</t>
        </is>
      </c>
      <c r="E578" s="43" t="inlineStr">
        <is>
          <t>pilot-v2-doc-pm-poshan-0001-f1d73701c602</t>
        </is>
      </c>
      <c r="F578" s="43" t="inlineStr">
        <is>
          <t>PM POSHAN - Prime Minister's Overarching Scheme For Holistic Nourishment</t>
        </is>
      </c>
      <c r="G578" s="43" t="inlineStr">
        <is>
          <t>Primary: Calorie – 700; Protein - 20 gms Food norms per child per day: Primary: Food grains - 100 gms; Pulses - 20 gms; Vegetables - 50 gms; Oil &amp; fat - 5 gms, Salt &amp; condiments - As per need. Upper Primary: Food grains - 150 gms; Pulses - 30 gms; Vegetables - 75 gms; Oil &amp; fat – 7.5 gms, Salt &amp; condiments - As per need. Under the Scheme, there is the provision of hot cooked meals to children of pre-schools or Bal Vatika (before class I) in primary schools also in addition to the 11.80 crore children of classes I to VIII studying in 11.20 lakh schools.. The applicant must be a citizen of India. The applicant must be studying in a Primary or Upper Primary class (Class 1st to Class 8th) in a Government or a Government-aided school.. There is no application process for this scheme. PM POSHAN is equally applicable to all children who are studying in Government and Government – aided schools.</t>
        </is>
      </c>
      <c r="H578" s="49" t="inlineStr">
        <is>
          <t>0</t>
        </is>
      </c>
      <c r="I578" s="49" t="str"/>
      <c r="J578" s="55">
        <f>INT((ROW()-2)/50)+1</f>
        <v/>
      </c>
      <c r="K578" s="55">
        <f>IF(H578="","Pending",IF(OR(H578="0",H578="1",H578="2",H578="U"),"Complete","Invalid"))</f>
        <v/>
      </c>
    </row>
    <row r="579" ht="84" customHeight="1">
      <c r="A579" s="43" t="inlineStr">
        <is>
          <t>v2q-020-candidate-04</t>
        </is>
      </c>
      <c r="B579" s="43" t="inlineStr">
        <is>
          <t>v2q-020</t>
        </is>
      </c>
      <c r="C579" s="43" t="inlineStr">
        <is>
          <t>How do NSDC and SPIAs divide responsibility in the Special Projects arm of the national skill mission?</t>
        </is>
      </c>
      <c r="D579" s="43" t="inlineStr">
        <is>
          <t>NSDC supports the ministry’s implementation, while Special Projects Implementing Agencies deliver the projects on the ground.</t>
        </is>
      </c>
      <c r="E579" s="43" t="inlineStr">
        <is>
          <t>pilot-v2-doc-pm-kisan-guidelines-0009-4b2b66f9fbc9</t>
        </is>
      </c>
      <c r="F579" s="43" t="inlineStr">
        <is>
          <t>PM-KISAN Operational Guidelines</t>
        </is>
      </c>
      <c r="G579" s="43" t="inlineStr">
        <is>
          <t>can use the beneficiary Aadhaar number and other
information provided in the declaration to verify the  eligibility of the beneficiary for
scheme as per extant scheme guidelines with the concerned agencies”.
6.3   The existing land-ownership system in the concerned State / UT will be used for
identification of beneficiaries. Accordingly,  it  is of utmost importance that the land
records are clear and updated. Further, State / UT Governments would also expedite
                                         6
the progress of digitization of the land records and linking the same with Aadhaar as
well as bank details of the beneficiaries.
6.4   The lists of eligible beneficiaries would be published at the village level. Farmers’
families who are eligible but have been excluded should be provided an opportunity to
represent their case.
7.    Review, Monitoring and Grievance Redressal Mechanism
7.1   There will be stratified review  / monitoring mechanism at National, State and
District Level. At the National level, the Review Committee will be headed by Cabinet
Secretary. The States shall notify the State and District Level Review  / Monitoring
Committee.
7.2   The States  shall also  notify State and  District Level Grievance Redressal
Monitoring Committees for looking into all the grievances related to implementation of
the scheme. Any grievances or complaints which are received should be disposed off
on merit preferably within two weeks time.
8.    Setting up of Project Monitoring Unit (PMU)
8.1  A Project Monitoring Unit (PMU) at Central level will be set up in the 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t>
        </is>
      </c>
      <c r="H579" s="49" t="inlineStr">
        <is>
          <t>0</t>
        </is>
      </c>
      <c r="I579" s="49" t="str"/>
      <c r="J579" s="55">
        <f>INT((ROW()-2)/50)+1</f>
        <v/>
      </c>
      <c r="K579" s="55">
        <f>IF(H579="","Pending",IF(OR(H579="0",H579="1",H579="2",H579="U"),"Complete","Invalid"))</f>
        <v/>
      </c>
    </row>
    <row r="580" ht="84" customHeight="1">
      <c r="A580" s="43" t="inlineStr">
        <is>
          <t>v2q-002-candidate-11</t>
        </is>
      </c>
      <c r="B580" s="43" t="inlineStr">
        <is>
          <t>v2q-002</t>
        </is>
      </c>
      <c r="C580" s="43" t="inlineStr">
        <is>
          <t>What maximum premium rates can farmers pay under PMFBY for Kharif, Rabi, and annual commercial or horticultural crops?</t>
        </is>
      </c>
      <c r="D580" s="43" t="inlineStr">
        <is>
          <t>Farmers pay at most 2% for Kharif food and oilseed crops, 1.5% for Rabi food and oilseed crops, and 5% for annual commercial or horticultural crops.</t>
        </is>
      </c>
      <c r="E580" s="43" t="inlineStr">
        <is>
          <t>pilot-v2-doc-pmfby-0000-d9ad07736d66</t>
        </is>
      </c>
      <c r="F580" s="43" t="inlineStr">
        <is>
          <t>Pradhan Mantri Fasal Bima Yojna (PMFBY)</t>
        </is>
      </c>
      <c r="G580"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580" s="49" t="inlineStr">
        <is>
          <t>2</t>
        </is>
      </c>
      <c r="I580" s="49" t="str"/>
      <c r="J580" s="55">
        <f>INT((ROW()-2)/50)+1</f>
        <v/>
      </c>
      <c r="K580" s="55">
        <f>IF(H580="","Pending",IF(OR(H580="0",H580="1",H580="2",H580="U"),"Complete","Invalid"))</f>
        <v/>
      </c>
    </row>
    <row r="581" ht="84" customHeight="1">
      <c r="A581" s="43" t="inlineStr">
        <is>
          <t>v2q-029-candidate-21</t>
        </is>
      </c>
      <c r="B581" s="43" t="inlineStr">
        <is>
          <t>v2q-029</t>
        </is>
      </c>
      <c r="C581" s="43" t="inlineStr">
        <is>
          <t>What migrant-focused facility distinguishes Ujjwala 2.0, and what clean-cooking transition was established by its predecessor programme?</t>
        </is>
      </c>
      <c r="D581" s="43" t="inlineStr">
        <is>
          <t>Ujjwala 2.0 added 1.6 crore LPG connections with a special facility for migrant households. Its predecessor, Pradhan Mantri Ujjwala Yojana, sought to replace traditional cooking fuels with LPG access for rural and deprived households.</t>
        </is>
      </c>
      <c r="E581" s="43" t="inlineStr">
        <is>
          <t>pilot-v2-doc-apy-0003-68e7199c9d14</t>
        </is>
      </c>
      <c r="F581" s="43" t="inlineStr">
        <is>
          <t>Atal Pension Yojana</t>
        </is>
      </c>
      <c r="G581"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581" s="49" t="inlineStr">
        <is>
          <t>0</t>
        </is>
      </c>
      <c r="I581" s="49" t="str"/>
      <c r="J581" s="55">
        <f>INT((ROW()-2)/50)+1</f>
        <v/>
      </c>
      <c r="K581" s="55">
        <f>IF(H581="","Pending",IF(OR(H581="0",H581="1",H581="2",H581="U"),"Complete","Invalid"))</f>
        <v/>
      </c>
    </row>
    <row r="582" ht="84" customHeight="1">
      <c r="A582" s="43" t="inlineStr">
        <is>
          <t>v2q-010-candidate-15</t>
        </is>
      </c>
      <c r="B582" s="43" t="inlineStr">
        <is>
          <t>v2q-010</t>
        </is>
      </c>
      <c r="C582" s="43" t="inlineStr">
        <is>
          <t>What is the full form of PM POSHAN, and what meal benefit does it provide?</t>
        </is>
      </c>
      <c r="D582" s="43" t="inlineStr">
        <is>
          <t>PM POSHAN means Prime Minister's Overarching Scheme for Holistic Nourishment and provides one hot cooked meal to children in government and government-aided schools.</t>
        </is>
      </c>
      <c r="E582" s="43" t="inlineStr">
        <is>
          <t>pilot-v2-doc-pmay-u-0000-0b5e95b2690a</t>
        </is>
      </c>
      <c r="F582" s="43" t="inlineStr">
        <is>
          <t>Pradhan Mantri Awas Yojana - Urban</t>
        </is>
      </c>
      <c r="G582"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582" s="49" t="inlineStr">
        <is>
          <t>0</t>
        </is>
      </c>
      <c r="I582" s="49" t="str"/>
      <c r="J582" s="55">
        <f>INT((ROW()-2)/50)+1</f>
        <v/>
      </c>
      <c r="K582" s="55">
        <f>IF(H582="","Pending",IF(OR(H582="0",H582="1",H582="2",H582="U"),"Complete","Invalid"))</f>
        <v/>
      </c>
    </row>
    <row r="583" ht="84" customHeight="1">
      <c r="A583" s="43" t="inlineStr">
        <is>
          <t>v2q-026-candidate-14</t>
        </is>
      </c>
      <c r="B583" s="43" t="inlineStr">
        <is>
          <t>v2q-026</t>
        </is>
      </c>
      <c r="C583" s="43" t="inlineStr">
        <is>
          <t>What employment guarantee does MGNREGA provide, and which other programme from its ministry supplies pucca houses to rural households?</t>
        </is>
      </c>
      <c r="D583" s="43" t="inlineStr">
        <is>
          <t>MGNREGA guarantees at least 100 days of wage employment to qualifying rural households. PMAY-G, under the same Ministry of Rural Development, supports pucca houses with basic amenities for eligible rural households.</t>
        </is>
      </c>
      <c r="E583" s="43" t="inlineStr">
        <is>
          <t>pilot-v2-doc-mgnrega-0001-5203a455caa6</t>
        </is>
      </c>
      <c r="F583" s="43" t="inlineStr">
        <is>
          <t>Mahatma Gandhi National Rural Employment Guarantee Act</t>
        </is>
      </c>
      <c r="G583"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583" s="49" t="inlineStr">
        <is>
          <t>2</t>
        </is>
      </c>
      <c r="I583" s="49" t="str"/>
      <c r="J583" s="55">
        <f>INT((ROW()-2)/50)+1</f>
        <v/>
      </c>
      <c r="K583" s="55">
        <f>IF(H583="","Pending",IF(OR(H583="0",H583="1",H583="2",H583="U"),"Complete","Invalid"))</f>
        <v/>
      </c>
    </row>
    <row r="584" ht="84" customHeight="1">
      <c r="A584" s="43" t="inlineStr">
        <is>
          <t>v2q-021-candidate-06</t>
        </is>
      </c>
      <c r="B584" s="43" t="inlineStr">
        <is>
          <t>v2q-021</t>
        </is>
      </c>
      <c r="C584" s="43" t="inlineStr">
        <is>
          <t>How do insurance companies and banks participate in PMFBY?</t>
        </is>
      </c>
      <c r="D584" s="43" t="inlineStr">
        <is>
          <t>PMFBY is implemented through a network of insurance companies and banks to provide crop-insurance protection to farmers.</t>
        </is>
      </c>
      <c r="E584" s="43" t="inlineStr">
        <is>
          <t>pilot-v2-doc-pmsby-0000-0f297846df39</t>
        </is>
      </c>
      <c r="F584" s="43" t="inlineStr">
        <is>
          <t>Pradhan Mantri Suraksha Bima Yojana</t>
        </is>
      </c>
      <c r="G584"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584" s="49" t="inlineStr">
        <is>
          <t>0</t>
        </is>
      </c>
      <c r="I584" s="49" t="str"/>
      <c r="J584" s="55">
        <f>INT((ROW()-2)/50)+1</f>
        <v/>
      </c>
      <c r="K584" s="55">
        <f>IF(H584="","Pending",IF(OR(H584="0",H584="1",H584="2",H584="U"),"Complete","Invalid"))</f>
        <v/>
      </c>
    </row>
    <row r="585" ht="84" customHeight="1">
      <c r="A585" s="43" t="inlineStr">
        <is>
          <t>v2q-003-candidate-10</t>
        </is>
      </c>
      <c r="B585" s="43" t="inlineStr">
        <is>
          <t>v2q-003</t>
        </is>
      </c>
      <c r="C585" s="43" t="inlineStr">
        <is>
          <t>What revised overdraft limit and RuPay accidental-insurance cover are stated for PMJDY?</t>
        </is>
      </c>
      <c r="D585" s="43" t="inlineStr">
        <is>
          <t>PMJDY states a revised overdraft limit of ₹10,000 and accidental-insurance cover of ₹2 lakh for RuPay cardholders.</t>
        </is>
      </c>
      <c r="E585" s="43" t="inlineStr">
        <is>
          <t>pilot-v2-doc-pmjdy-0000-8b241ec39723</t>
        </is>
      </c>
      <c r="F585" s="43" t="inlineStr">
        <is>
          <t>Pradhan Mantri Jan Dhan Yojana</t>
        </is>
      </c>
      <c r="G585"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585" s="49" t="inlineStr">
        <is>
          <t>2</t>
        </is>
      </c>
      <c r="I585" s="49" t="str"/>
      <c r="J585" s="55">
        <f>INT((ROW()-2)/50)+1</f>
        <v/>
      </c>
      <c r="K585" s="55">
        <f>IF(H585="","Pending",IF(OR(H585="0",H585="1",H585="2",H585="U"),"Complete","Invalid"))</f>
        <v/>
      </c>
    </row>
    <row r="586" ht="84" customHeight="1">
      <c r="A586" s="43" t="inlineStr">
        <is>
          <t>v2q-025-candidate-04</t>
        </is>
      </c>
      <c r="B586" s="43" t="inlineStr">
        <is>
          <t>v2q-025</t>
        </is>
      </c>
      <c r="C586" s="43" t="inlineStr">
        <is>
          <t>What banking function does PMJDY provide, and which other programme from its ministry finances income-generating micro-enterprises?</t>
        </is>
      </c>
      <c r="D586" s="43" t="inlineStr">
        <is>
          <t>PMJDY provides universal banking services for unbanked households. PMMY, under the same Ministry of Finance, provides micro-credit for income-generating micro-enterprises.</t>
        </is>
      </c>
      <c r="E586" s="43" t="inlineStr">
        <is>
          <t>pilot-v2-doc-pm-svanidhi-0000-f6024bb09ca5</t>
        </is>
      </c>
      <c r="F586" s="43" t="inlineStr">
        <is>
          <t>PM Street Vendor’s AtmaNirbhar Nidhi (PM SVANidhi)</t>
        </is>
      </c>
      <c r="G586"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586" s="49" t="inlineStr">
        <is>
          <t>0</t>
        </is>
      </c>
      <c r="I586" s="49" t="str"/>
      <c r="J586" s="55">
        <f>INT((ROW()-2)/50)+1</f>
        <v/>
      </c>
      <c r="K586" s="55">
        <f>IF(H586="","Pending",IF(OR(H586="0",H586="1",H586="2",H586="U"),"Complete","Invalid"))</f>
        <v/>
      </c>
    </row>
    <row r="587" ht="84" customHeight="1">
      <c r="A587" s="43" t="inlineStr">
        <is>
          <t>v2q-005-candidate-01</t>
        </is>
      </c>
      <c r="B587" s="43" t="inlineStr">
        <is>
          <t>v2q-005</t>
        </is>
      </c>
      <c r="C587" s="43" t="inlineStr">
        <is>
          <t>How many days of wage employment does MGNREGA guarantee a rural household in a financial year?</t>
        </is>
      </c>
      <c r="D587" s="43" t="inlineStr">
        <is>
          <t>MGNREGA guarantees at least 100 days of wage employment per financial year to a rural household whose adult members volunteer for unskilled work.</t>
        </is>
      </c>
      <c r="E587" s="43" t="inlineStr">
        <is>
          <t>pilot-v2-doc-pmegp-0000-7b958e1ec4b0</t>
        </is>
      </c>
      <c r="F587" s="43" t="inlineStr">
        <is>
          <t>Prime Minister's Employment Generation Programme</t>
        </is>
      </c>
      <c r="G587"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587" s="49" t="inlineStr">
        <is>
          <t>0</t>
        </is>
      </c>
      <c r="I587" s="49" t="str"/>
      <c r="J587" s="55">
        <f>INT((ROW()-2)/50)+1</f>
        <v/>
      </c>
      <c r="K587" s="55">
        <f>IF(H587="","Pending",IF(OR(H587="0",H587="1",H587="2",H587="U"),"Complete","Invalid"))</f>
        <v/>
      </c>
    </row>
    <row r="588" ht="84" customHeight="1">
      <c r="A588" s="43" t="inlineStr">
        <is>
          <t>v2q-009-candidate-24</t>
        </is>
      </c>
      <c r="B588" s="43" t="inlineStr">
        <is>
          <t>v2q-009</t>
        </is>
      </c>
      <c r="C588" s="43" t="inlineStr">
        <is>
          <t>What does APY stand for, and what monthly pension range does it guarantee after age 60?</t>
        </is>
      </c>
      <c r="D588" s="43" t="inlineStr">
        <is>
          <t>APY stands for Atal Pension Yojana and offers guaranteed monthly pension options from ₹1,000 to ₹5,000 after age 60.</t>
        </is>
      </c>
      <c r="E588" s="43" t="inlineStr">
        <is>
          <t>pilot-v2-doc-mgnrega-0001-5203a455caa6</t>
        </is>
      </c>
      <c r="F588" s="43" t="inlineStr">
        <is>
          <t>Mahatma Gandhi National Rural Employment Guarantee Act</t>
        </is>
      </c>
      <c r="G588"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588" s="49" t="inlineStr">
        <is>
          <t>0</t>
        </is>
      </c>
      <c r="I588" s="49" t="str"/>
      <c r="J588" s="55">
        <f>INT((ROW()-2)/50)+1</f>
        <v/>
      </c>
      <c r="K588" s="55">
        <f>IF(H588="","Pending",IF(OR(H588="0",H588="1",H588="2",H588="U"),"Complete","Invalid"))</f>
        <v/>
      </c>
    </row>
    <row r="589" ht="84" customHeight="1">
      <c r="A589" s="43" t="inlineStr">
        <is>
          <t>v2q-011-candidate-17</t>
        </is>
      </c>
      <c r="B589" s="43" t="inlineStr">
        <is>
          <t>v2q-011</t>
        </is>
      </c>
      <c r="C589" s="43" t="inlineStr">
        <is>
          <t>What does PM JANMAN stand for, and which communities does it target?</t>
        </is>
      </c>
      <c r="D589" s="43" t="inlineStr">
        <is>
          <t>PM JANMAN stands for PM Janjati Adivasi Nyaya Maha Abhiyan and targets Particularly Vulnerable Tribal Groups.</t>
        </is>
      </c>
      <c r="E589" s="43" t="inlineStr">
        <is>
          <t>pilot-v2-doc-pm-kisan-guidelines-0000-bbe94f08550e</t>
        </is>
      </c>
      <c r="F589" s="43" t="inlineStr">
        <is>
          <t>PM-KISAN Operational Guidelines</t>
        </is>
      </c>
      <c r="G589"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589" s="49" t="inlineStr">
        <is>
          <t>0</t>
        </is>
      </c>
      <c r="I589" s="49" t="str"/>
      <c r="J589" s="55">
        <f>INT((ROW()-2)/50)+1</f>
        <v/>
      </c>
      <c r="K589" s="55">
        <f>IF(H589="","Pending",IF(OR(H589="0",H589="1",H589="2",H589="U"),"Complete","Invalid"))</f>
        <v/>
      </c>
    </row>
    <row r="590" ht="84" customHeight="1">
      <c r="A590" s="43" t="inlineStr">
        <is>
          <t>v2q-014-candidate-10</t>
        </is>
      </c>
      <c r="B590" s="43" t="inlineStr">
        <is>
          <t>v2q-014</t>
        </is>
      </c>
      <c r="C590" s="43" t="inlineStr">
        <is>
          <t>Under the national ration programme, what monthly cereal allocation goes to families in the poorest entitlement tier and to each person in the priority tier?</t>
        </is>
      </c>
      <c r="D590" s="43" t="inlineStr">
        <is>
          <t>AAY families receive 35 kilograms per family per month, while PHH beneficiaries receive 5 kilograms per person per month.</t>
        </is>
      </c>
      <c r="E590" s="43" t="inlineStr">
        <is>
          <t>pilot-v2-doc-pmegp-0000-7b958e1ec4b0</t>
        </is>
      </c>
      <c r="F590" s="43" t="inlineStr">
        <is>
          <t>Prime Minister's Employment Generation Programme</t>
        </is>
      </c>
      <c r="G590"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590" s="49" t="inlineStr">
        <is>
          <t>0</t>
        </is>
      </c>
      <c r="I590" s="49" t="str"/>
      <c r="J590" s="55">
        <f>INT((ROW()-2)/50)+1</f>
        <v/>
      </c>
      <c r="K590" s="55">
        <f>IF(H590="","Pending",IF(OR(H590="0",H590="1",H590="2",H590="U"),"Complete","Invalid"))</f>
        <v/>
      </c>
    </row>
    <row r="591" ht="84" customHeight="1">
      <c r="A591" s="43" t="inlineStr">
        <is>
          <t>v2q-024-candidate-08</t>
        </is>
      </c>
      <c r="B591" s="43" t="inlineStr">
        <is>
          <t>v2q-024</t>
        </is>
      </c>
      <c r="C591" s="43" t="inlineStr">
        <is>
          <t>Which national health-assurance programme does NHA implement under the health ministry?</t>
        </is>
      </c>
      <c r="D591" s="43" t="inlineStr">
        <is>
          <t>The National Health Authority implements AB-PMJAY under the Ministry of Health and Family Welfare.</t>
        </is>
      </c>
      <c r="E591" s="43" t="inlineStr">
        <is>
          <t>pilot-v2-doc-pmkvy-stt-0004-0258e7b813c4</t>
        </is>
      </c>
      <c r="F591" s="43" t="inlineStr">
        <is>
          <t>Pradhan Mantri Kaushal Vikas Yojana 4.0 - Short-Term Training</t>
        </is>
      </c>
      <c r="G591" s="43" t="inlineStr">
        <is>
          <t>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 Training (OJT), and assessment by the NCVET-approved Awarding Bodies and Assessment Agencies. Step 6: On passing the assessment, the QR-code-based digital certificate is issued through DigiLocker, an email/phone download link, and the SID profile page, and a free printed certificate is provided by the Training Provider.</t>
        </is>
      </c>
      <c r="H591" s="49" t="inlineStr">
        <is>
          <t>0</t>
        </is>
      </c>
      <c r="I591" s="49" t="str"/>
      <c r="J591" s="55">
        <f>INT((ROW()-2)/50)+1</f>
        <v/>
      </c>
      <c r="K591" s="55">
        <f>IF(H591="","Pending",IF(OR(H591="0",H591="1",H591="2",H591="U"),"Complete","Invalid"))</f>
        <v/>
      </c>
    </row>
    <row r="592" ht="84" customHeight="1">
      <c r="A592" s="43" t="inlineStr">
        <is>
          <t>v2q-022-candidate-27</t>
        </is>
      </c>
      <c r="B592" s="43" t="inlineStr">
        <is>
          <t>v2q-022</t>
        </is>
      </c>
      <c r="C592" s="43" t="inlineStr">
        <is>
          <t>Which finance programme relies on Member Lending Institutions to extend assistance to non-corporate micro-enterprises?</t>
        </is>
      </c>
      <c r="D592" s="43" t="inlineStr">
        <is>
          <t>Eligible Member Lending Institutions extend PMMY financial assistance and provide the scheme’s micro-loans to qualifying micro and small enterprises.</t>
        </is>
      </c>
      <c r="E592" s="43" t="inlineStr">
        <is>
          <t>pilot-v2-doc-ab-pmjay-0001-a632a7205efc</t>
        </is>
      </c>
      <c r="F592" s="43" t="inlineStr">
        <is>
          <t>Ayushman Bharat - Pradhan Mantri Jan Arogya Yojana</t>
        </is>
      </c>
      <c r="G592"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592" s="49" t="inlineStr">
        <is>
          <t>0</t>
        </is>
      </c>
      <c r="I592" s="49" t="str"/>
      <c r="J592" s="55">
        <f>INT((ROW()-2)/50)+1</f>
        <v/>
      </c>
      <c r="K592" s="55">
        <f>IF(H592="","Pending",IF(OR(H592="0",H592="1",H592="2",H592="U"),"Complete","Invalid"))</f>
        <v/>
      </c>
    </row>
    <row r="593" ht="84" customHeight="1">
      <c r="A593" s="43" t="inlineStr">
        <is>
          <t>v2q-005-candidate-09</t>
        </is>
      </c>
      <c r="B593" s="43" t="inlineStr">
        <is>
          <t>v2q-005</t>
        </is>
      </c>
      <c r="C593" s="43" t="inlineStr">
        <is>
          <t>How many days of wage employment does MGNREGA guarantee a rural household in a financial year?</t>
        </is>
      </c>
      <c r="D593" s="43" t="inlineStr">
        <is>
          <t>MGNREGA guarantees at least 100 days of wage employment per financial year to a rural household whose adult members volunteer for unskilled work.</t>
        </is>
      </c>
      <c r="E593" s="43" t="inlineStr">
        <is>
          <t>pilot-v2-doc-mgnrega-0002-bbbce5f319d4</t>
        </is>
      </c>
      <c r="F593" s="43" t="inlineStr">
        <is>
          <t>Mahatma Gandhi National Rural Employment Guarantee Act</t>
        </is>
      </c>
      <c r="G593"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593" s="49" t="inlineStr">
        <is>
          <t>1</t>
        </is>
      </c>
      <c r="I593" s="49" t="str"/>
      <c r="J593" s="55">
        <f>INT((ROW()-2)/50)+1</f>
        <v/>
      </c>
      <c r="K593" s="55">
        <f>IF(H593="","Pending",IF(OR(H593="0",H593="1",H593="2",H593="U"),"Complete","Invalid"))</f>
        <v/>
      </c>
    </row>
    <row r="594" ht="84" customHeight="1">
      <c r="A594" s="43" t="inlineStr">
        <is>
          <t>v2q-032-candidate-13</t>
        </is>
      </c>
      <c r="B594" s="43" t="inlineStr">
        <is>
          <t>v2q-032</t>
        </is>
      </c>
      <c r="C594" s="43" t="inlineStr">
        <is>
          <t>How do three farmer programmes separately address crop loss, current income needs, and old-age income security?</t>
        </is>
      </c>
      <c r="D594" s="43" t="inlineStr">
        <is>
          <t>PMFBY insures crops against specified losses; PM-KISAN transfers ₹6,000 annually to eligible farmer families; PM-KMY provides eligible small and marginal farmers an assured ₹3,000 monthly pension from age 60.</t>
        </is>
      </c>
      <c r="E594" s="43" t="inlineStr">
        <is>
          <t>pilot-v2-doc-pm-kmy-guidelines-0002-ae644e1f8c00</t>
        </is>
      </c>
      <c r="F594" s="43" t="inlineStr">
        <is>
          <t>Pradhan Mantri Kisan Maan Dhan Yojana Operational Guidelines</t>
        </is>
      </c>
      <c r="G594"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594" s="49" t="inlineStr">
        <is>
          <t>2</t>
        </is>
      </c>
      <c r="I594" s="49" t="str"/>
      <c r="J594" s="55">
        <f>INT((ROW()-2)/50)+1</f>
        <v/>
      </c>
      <c r="K594" s="55">
        <f>IF(H594="","Pending",IF(OR(H594="0",H594="1",H594="2",H594="U"),"Complete","Invalid"))</f>
        <v/>
      </c>
    </row>
    <row r="595" ht="84" customHeight="1">
      <c r="A595" s="43" t="inlineStr">
        <is>
          <t>v2q-026-candidate-08</t>
        </is>
      </c>
      <c r="B595" s="43" t="inlineStr">
        <is>
          <t>v2q-026</t>
        </is>
      </c>
      <c r="C595" s="43" t="inlineStr">
        <is>
          <t>What employment guarantee does MGNREGA provide, and which other programme from its ministry supplies pucca houses to rural households?</t>
        </is>
      </c>
      <c r="D595" s="43" t="inlineStr">
        <is>
          <t>MGNREGA guarantees at least 100 days of wage employment to qualifying rural households. PMAY-G, under the same Ministry of Rural Development, supports pucca houses with basic amenities for eligible rural households.</t>
        </is>
      </c>
      <c r="E595" s="43" t="inlineStr">
        <is>
          <t>pilot-v2-doc-pmay-u-0000-0b5e95b2690a</t>
        </is>
      </c>
      <c r="F595" s="43" t="inlineStr">
        <is>
          <t>Pradhan Mantri Awas Yojana - Urban</t>
        </is>
      </c>
      <c r="G595" s="43" t="inlineStr">
        <is>
          <t>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is>
      </c>
      <c r="H595" s="49" t="inlineStr">
        <is>
          <t>0</t>
        </is>
      </c>
      <c r="I595" s="49" t="str"/>
      <c r="J595" s="55">
        <f>INT((ROW()-2)/50)+1</f>
        <v/>
      </c>
      <c r="K595" s="55">
        <f>IF(H595="","Pending",IF(OR(H595="0",H595="1",H595="2",H595="U"),"Complete","Invalid"))</f>
        <v/>
      </c>
    </row>
    <row r="596" ht="84" customHeight="1">
      <c r="A596" s="43" t="inlineStr">
        <is>
          <t>v2q-034-candidate-21</t>
        </is>
      </c>
      <c r="B596" s="43" t="inlineStr">
        <is>
          <t>v2q-034</t>
        </is>
      </c>
      <c r="C596" s="43" t="inlineStr">
        <is>
          <t>How do three programmes meet distinct household needs for rural housing, clean cooking, and food security?</t>
        </is>
      </c>
      <c r="D596" s="43" t="inlineStr">
        <is>
          <t>PMAY-G supports pucca rural housing with basic amenities; PMUY provides LPG access to deprived households replacing traditional cooking fuels; PMGKAY provides free foodgrains to eligible AAY and PHH ration-card holders.</t>
        </is>
      </c>
      <c r="E596" s="43" t="inlineStr">
        <is>
          <t>pilot-v2-doc-pmuy-0001-5fd4d0cd2135</t>
        </is>
      </c>
      <c r="F596" s="43" t="inlineStr">
        <is>
          <t>Pradhan Mantri Ujjwala Yojana</t>
        </is>
      </c>
      <c r="G596"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596" s="49" t="inlineStr">
        <is>
          <t>2</t>
        </is>
      </c>
      <c r="I596" s="49" t="str"/>
      <c r="J596" s="55">
        <f>INT((ROW()-2)/50)+1</f>
        <v/>
      </c>
      <c r="K596" s="55">
        <f>IF(H596="","Pending",IF(OR(H596="0",H596="1",H596="2",H596="U"),"Complete","Invalid"))</f>
        <v/>
      </c>
    </row>
    <row r="597" ht="84" customHeight="1">
      <c r="A597" s="43" t="inlineStr">
        <is>
          <t>v2q-004-candidate-04</t>
        </is>
      </c>
      <c r="B597" s="43" t="inlineStr">
        <is>
          <t>v2q-004</t>
        </is>
      </c>
      <c r="C597" s="43" t="inlineStr">
        <is>
          <t>What is the maximum micro-loan amount stated for PMMY?</t>
        </is>
      </c>
      <c r="D597" s="43" t="inlineStr">
        <is>
          <t>PMMY facilitates micro-credit loans up to ₹20 lakh for eligible income-generating micro-enterprises.</t>
        </is>
      </c>
      <c r="E597" s="43" t="inlineStr">
        <is>
          <t>pilot-v2-doc-pmjdy-0000-8b241ec39723</t>
        </is>
      </c>
      <c r="F597" s="43" t="inlineStr">
        <is>
          <t>Pradhan Mantri Jan Dhan Yojana</t>
        </is>
      </c>
      <c r="G597"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597" s="49" t="inlineStr">
        <is>
          <t>0</t>
        </is>
      </c>
      <c r="I597" s="49" t="str"/>
      <c r="J597" s="55">
        <f>INT((ROW()-2)/50)+1</f>
        <v/>
      </c>
      <c r="K597" s="55">
        <f>IF(H597="","Pending",IF(OR(H597="0",H597="1",H597="2",H597="U"),"Complete","Invalid"))</f>
        <v/>
      </c>
    </row>
    <row r="598" ht="84" customHeight="1">
      <c r="A598" s="43" t="inlineStr">
        <is>
          <t>v2q-023-candidate-25</t>
        </is>
      </c>
      <c r="B598" s="43" t="inlineStr">
        <is>
          <t>v2q-023</t>
        </is>
      </c>
      <c r="C598" s="43" t="inlineStr">
        <is>
          <t>What role does a Gram Panchayat play when a household registers for MGNREGA?</t>
        </is>
      </c>
      <c r="D598" s="43" t="inlineStr">
        <is>
          <t>A household may apply through its local Gram Panchayat, which verifies residence, household identity, and adult membership details.</t>
        </is>
      </c>
      <c r="E598" s="43" t="inlineStr">
        <is>
          <t>pilot-v2-doc-apy-0000-c43dd88d7899</t>
        </is>
      </c>
      <c r="F598" s="43" t="inlineStr">
        <is>
          <t>Atal Pension Yojana</t>
        </is>
      </c>
      <c r="G598"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598" s="49" t="inlineStr">
        <is>
          <t>0</t>
        </is>
      </c>
      <c r="I598" s="49" t="str"/>
      <c r="J598" s="55">
        <f>INT((ROW()-2)/50)+1</f>
        <v/>
      </c>
      <c r="K598" s="55">
        <f>IF(H598="","Pending",IF(OR(H598="0",H598="1",H598="2",H598="U"),"Complete","Invalid"))</f>
        <v/>
      </c>
    </row>
    <row r="599" ht="84" customHeight="1">
      <c r="A599" s="43" t="inlineStr">
        <is>
          <t>v2q-019-candidate-18</t>
        </is>
      </c>
      <c r="B599" s="43" t="inlineStr">
        <is>
          <t>v2q-019</t>
        </is>
      </c>
      <c r="C599" s="43" t="inlineStr">
        <is>
          <t>What role does the Ministry of Petroleum and Natural Gas have in Ujjwala 2.0?</t>
        </is>
      </c>
      <c r="D599" s="43" t="inlineStr">
        <is>
          <t>The ministry introduced Ujjwala 2.0 to provide LPG connections and promote clean cooking fuel among poor, rural, and deprived households.</t>
        </is>
      </c>
      <c r="E599" s="43" t="inlineStr">
        <is>
          <t>pilot-v2-doc-ab-pmjay-0001-a632a7205efc</t>
        </is>
      </c>
      <c r="F599" s="43" t="inlineStr">
        <is>
          <t>Ayushman Bharat - Pradhan Mantri Jan Arogya Yojana</t>
        </is>
      </c>
      <c r="G599"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599" s="49" t="inlineStr">
        <is>
          <t>0</t>
        </is>
      </c>
      <c r="I599" s="49" t="str"/>
      <c r="J599" s="55">
        <f>INT((ROW()-2)/50)+1</f>
        <v/>
      </c>
      <c r="K599" s="55">
        <f>IF(H599="","Pending",IF(OR(H599="0",H599="1",H599="2",H599="U"),"Complete","Invalid"))</f>
        <v/>
      </c>
    </row>
    <row r="600" ht="84" customHeight="1">
      <c r="A600" s="43" t="inlineStr">
        <is>
          <t>v2q-025-candidate-11</t>
        </is>
      </c>
      <c r="B600" s="43" t="inlineStr">
        <is>
          <t>v2q-025</t>
        </is>
      </c>
      <c r="C600" s="43" t="inlineStr">
        <is>
          <t>What banking function does PMJDY provide, and which other programme from its ministry finances income-generating micro-enterprises?</t>
        </is>
      </c>
      <c r="D600" s="43" t="inlineStr">
        <is>
          <t>PMJDY provides universal banking services for unbanked households. PMMY, under the same Ministry of Finance, provides micro-credit for income-generating micro-enterprises.</t>
        </is>
      </c>
      <c r="E600" s="43" t="inlineStr">
        <is>
          <t>pilot-v2-doc-pm-kmy-guidelines-0004-79b3bf95bb65</t>
        </is>
      </c>
      <c r="F600" s="43" t="inlineStr">
        <is>
          <t>Pradhan Mantri Kisan Maan Dhan Yojana Operational Guidelines</t>
        </is>
      </c>
      <c r="G600"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600" s="49" t="inlineStr">
        <is>
          <t>0</t>
        </is>
      </c>
      <c r="I600" s="49" t="str"/>
      <c r="J600" s="55">
        <f>INT((ROW()-2)/50)+1</f>
        <v/>
      </c>
      <c r="K600" s="55">
        <f>IF(H600="","Pending",IF(OR(H600="0",H600="1",H600="2",H600="U"),"Complete","Invalid"))</f>
        <v/>
      </c>
    </row>
    <row r="601" ht="84" customHeight="1">
      <c r="A601" s="43" t="inlineStr">
        <is>
          <t>v2q-018-candidate-08</t>
        </is>
      </c>
      <c r="B601" s="43" t="inlineStr">
        <is>
          <t>v2q-018</t>
        </is>
      </c>
      <c r="C601" s="43" t="inlineStr">
        <is>
          <t>Which initiative helps city households across officially defined lower and middle income bands obtain permanent homes?</t>
        </is>
      </c>
      <c r="D601" s="43" t="inlineStr">
        <is>
          <t>Pradhan Mantri Awas Yojana–Urban addresses urban housing shortages and supports eligible EWS, LIG, and MIG households, including slum dwellers.</t>
        </is>
      </c>
      <c r="E601" s="43" t="inlineStr">
        <is>
          <t>pilot-v2-doc-pmay-g-0002-e08c1e347071</t>
        </is>
      </c>
      <c r="F601" s="43" t="inlineStr">
        <is>
          <t>Pradhan Mantri Awaas Yojana - Gramin</t>
        </is>
      </c>
      <c r="G601"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601" s="49" t="inlineStr">
        <is>
          <t>0</t>
        </is>
      </c>
      <c r="I601" s="49" t="str"/>
      <c r="J601" s="55">
        <f>INT((ROW()-2)/50)+1</f>
        <v/>
      </c>
      <c r="K601" s="55">
        <f>IF(H601="","Pending",IF(OR(H601="0",H601="1",H601="2",H601="U"),"Complete","Invalid"))</f>
        <v/>
      </c>
    </row>
    <row r="602" ht="84" customHeight="1">
      <c r="A602" s="43" t="inlineStr">
        <is>
          <t>v2q-008-candidate-18</t>
        </is>
      </c>
      <c r="B602" s="43" t="inlineStr">
        <is>
          <t>v2q-008</t>
        </is>
      </c>
      <c r="C602" s="43" t="inlineStr">
        <is>
          <t>Which accident-insurance programme is abbreviated PMSBY, and which outcomes trigger its cover?</t>
        </is>
      </c>
      <c r="D602" s="43" t="inlineStr">
        <is>
          <t>PMSBY stands for Pradhan Mantri Suraksha Bima Yojana and covers accidental death and disability.</t>
        </is>
      </c>
      <c r="E602" s="43" t="inlineStr">
        <is>
          <t>pilot-v2-doc-pm-kmy-guidelines-0021-7ce201d9d183</t>
        </is>
      </c>
      <c r="F602" s="43" t="inlineStr">
        <is>
          <t>Pradhan Mantri Kisan Maan Dhan Yojana Operational Guidelines</t>
        </is>
      </c>
      <c r="G602"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602" s="49" t="inlineStr">
        <is>
          <t>0</t>
        </is>
      </c>
      <c r="I602" s="49" t="str"/>
      <c r="J602" s="55">
        <f>INT((ROW()-2)/50)+1</f>
        <v/>
      </c>
      <c r="K602" s="55">
        <f>IF(H602="","Pending",IF(OR(H602="0",H602="1",H602="2",H602="U"),"Complete","Invalid"))</f>
        <v/>
      </c>
    </row>
    <row r="603" ht="84" customHeight="1">
      <c r="A603" s="43" t="inlineStr">
        <is>
          <t>v2q-028-candidate-05</t>
        </is>
      </c>
      <c r="B603" s="43" t="inlineStr">
        <is>
          <t>v2q-028</t>
        </is>
      </c>
      <c r="C603" s="43" t="inlineStr">
        <is>
          <t>What does PMKVY Recognition of Prior Learning certify, and which other pathway from its ministry serves candidates seeking fresh short-term skills training?</t>
        </is>
      </c>
      <c r="D603" s="43" t="inlineStr">
        <is>
          <t>PMKVY Recognition of Prior Learning certifies candidates’ existing skills. PMKVY Short-Term Training, under the same Ministry of Skill Development and Entrepreneurship, provides fresh skilling, reskilling, or upskilling.</t>
        </is>
      </c>
      <c r="E603" s="43" t="inlineStr">
        <is>
          <t>pilot-v2-doc-pmkvy-stt-0001-ea2787dec4e8</t>
        </is>
      </c>
      <c r="F603" s="43" t="inlineStr">
        <is>
          <t>Pradhan Mantri Kaushal Vikas Yojana 4.0 - Short-Term Training</t>
        </is>
      </c>
      <c r="G603"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603" s="49" t="inlineStr">
        <is>
          <t>1</t>
        </is>
      </c>
      <c r="I603" s="49" t="str"/>
      <c r="J603" s="55">
        <f>INT((ROW()-2)/50)+1</f>
        <v/>
      </c>
      <c r="K603" s="55">
        <f>IF(H603="","Pending",IF(OR(H603="0",H603="1",H603="2",H603="U"),"Complete","Invalid"))</f>
        <v/>
      </c>
    </row>
    <row r="604" ht="84" customHeight="1">
      <c r="A604" s="43" t="inlineStr">
        <is>
          <t>v2q-024-candidate-17</t>
        </is>
      </c>
      <c r="B604" s="43" t="inlineStr">
        <is>
          <t>v2q-024</t>
        </is>
      </c>
      <c r="C604" s="43" t="inlineStr">
        <is>
          <t>Which national health-assurance programme does NHA implement under the health ministry?</t>
        </is>
      </c>
      <c r="D604" s="43" t="inlineStr">
        <is>
          <t>The National Health Authority implements AB-PMJAY under the Ministry of Health and Family Welfare.</t>
        </is>
      </c>
      <c r="E604" s="43" t="inlineStr">
        <is>
          <t>pilot-v2-doc-ab-pmjay-0003-1242266bb260</t>
        </is>
      </c>
      <c r="F604" s="43" t="inlineStr">
        <is>
          <t>Ayushman Bharat - Pradhan Mantri Jan Arogya Yojana</t>
        </is>
      </c>
      <c r="G604"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604" s="49" t="inlineStr">
        <is>
          <t>1</t>
        </is>
      </c>
      <c r="I604" s="49" t="str"/>
      <c r="J604" s="55">
        <f>INT((ROW()-2)/50)+1</f>
        <v/>
      </c>
      <c r="K604" s="55">
        <f>IF(H604="","Pending",IF(OR(H604="0",H604="1",H604="2",H604="U"),"Complete","Invalid"))</f>
        <v/>
      </c>
    </row>
    <row r="605" ht="84" customHeight="1">
      <c r="A605" s="43" t="inlineStr">
        <is>
          <t>v2q-015-candidate-14</t>
        </is>
      </c>
      <c r="B605" s="43" t="inlineStr">
        <is>
          <t>v2q-015</t>
        </is>
      </c>
      <c r="C605" s="43" t="inlineStr">
        <is>
          <t>Which initiative helps job-seekers and established craftspeople launch small businesses outside agriculture?</t>
        </is>
      </c>
      <c r="D605" s="43" t="inlineStr">
        <is>
          <t>The Prime Minister's Employment Generation Programme supports new micro-enterprises to create self-employment for traditional artisans, unemployed youth, and other eligible beneficiaries.</t>
        </is>
      </c>
      <c r="E605" s="43" t="inlineStr">
        <is>
          <t>pilot-v2-doc-pmay-g-0000-d4162175877d</t>
        </is>
      </c>
      <c r="F605" s="43" t="inlineStr">
        <is>
          <t>Pradhan Mantri Awaas Yojana - Gramin</t>
        </is>
      </c>
      <c r="G605"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605" s="49" t="inlineStr">
        <is>
          <t>0</t>
        </is>
      </c>
      <c r="I605" s="49" t="str"/>
      <c r="J605" s="55">
        <f>INT((ROW()-2)/50)+1</f>
        <v/>
      </c>
      <c r="K605" s="55">
        <f>IF(H605="","Pending",IF(OR(H605="0",H605="1",H605="2",H605="U"),"Complete","Invalid"))</f>
        <v/>
      </c>
    </row>
    <row r="606" ht="84" customHeight="1">
      <c r="A606" s="43" t="inlineStr">
        <is>
          <t>v2q-022-candidate-19</t>
        </is>
      </c>
      <c r="B606" s="43" t="inlineStr">
        <is>
          <t>v2q-022</t>
        </is>
      </c>
      <c r="C606" s="43" t="inlineStr">
        <is>
          <t>Which finance programme relies on Member Lending Institutions to extend assistance to non-corporate micro-enterprises?</t>
        </is>
      </c>
      <c r="D606" s="43" t="inlineStr">
        <is>
          <t>Eligible Member Lending Institutions extend PMMY financial assistance and provide the scheme’s micro-loans to qualifying micro and small enterprises.</t>
        </is>
      </c>
      <c r="E606" s="43" t="inlineStr">
        <is>
          <t>pilot-v2-doc-pm-kmy-guidelines-0020-27037b9fe8a1</t>
        </is>
      </c>
      <c r="F606" s="43" t="inlineStr">
        <is>
          <t>Pradhan Mantri Kisan Maan Dhan Yojana Operational Guidelines</t>
        </is>
      </c>
      <c r="G606"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606" s="49" t="inlineStr">
        <is>
          <t>0</t>
        </is>
      </c>
      <c r="I606" s="49" t="str"/>
      <c r="J606" s="55">
        <f>INT((ROW()-2)/50)+1</f>
        <v/>
      </c>
      <c r="K606" s="55">
        <f>IF(H606="","Pending",IF(OR(H606="0",H606="1",H606="2",H606="U"),"Complete","Invalid"))</f>
        <v/>
      </c>
    </row>
    <row r="607" ht="84" customHeight="1">
      <c r="A607" s="43" t="inlineStr">
        <is>
          <t>v2q-034-candidate-10</t>
        </is>
      </c>
      <c r="B607" s="43" t="inlineStr">
        <is>
          <t>v2q-034</t>
        </is>
      </c>
      <c r="C607" s="43" t="inlineStr">
        <is>
          <t>How do three programmes meet distinct household needs for rural housing, clean cooking, and food security?</t>
        </is>
      </c>
      <c r="D607" s="43" t="inlineStr">
        <is>
          <t>PMAY-G supports pucca rural housing with basic amenities; PMUY provides LPG access to deprived households replacing traditional cooking fuels; PMGKAY provides free foodgrains to eligible AAY and PHH ration-card holders.</t>
        </is>
      </c>
      <c r="E607" s="43" t="inlineStr">
        <is>
          <t>pilot-v2-doc-pmay-g-0005-c6e2fcfefcd0</t>
        </is>
      </c>
      <c r="F607" s="43" t="inlineStr">
        <is>
          <t>Pradhan Mantri Awaas Yojana - Gramin</t>
        </is>
      </c>
      <c r="G607" s="43" t="inlineStr">
        <is>
          <t>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is>
      </c>
      <c r="H607" s="49" t="inlineStr">
        <is>
          <t>2</t>
        </is>
      </c>
      <c r="I607" s="49" t="str"/>
      <c r="J607" s="55">
        <f>INT((ROW()-2)/50)+1</f>
        <v/>
      </c>
      <c r="K607" s="55">
        <f>IF(H607="","Pending",IF(OR(H607="0",H607="1",H607="2",H607="U"),"Complete","Invalid"))</f>
        <v/>
      </c>
    </row>
    <row r="608" ht="84" customHeight="1">
      <c r="A608" s="43" t="inlineStr">
        <is>
          <t>v2q-016-candidate-01</t>
        </is>
      </c>
      <c r="B608" s="43" t="inlineStr">
        <is>
          <t>v2q-016</t>
        </is>
      </c>
      <c r="C608" s="43" t="inlineStr">
        <is>
          <t>How can an experienced worker obtain formal recognition for skills learned outside a training course?</t>
        </is>
      </c>
      <c r="D608" s="43" t="inlineStr">
        <is>
          <t>PMKVY 4.0 Recognition of Prior Learning assesses, upskills, and certifies candidates who already possess relevant skills or prior-learning experience.</t>
        </is>
      </c>
      <c r="E608" s="43" t="inlineStr">
        <is>
          <t>pilot-v2-doc-pmkvy-rpl-0004-3a140d40bcee</t>
        </is>
      </c>
      <c r="F608" s="43" t="inlineStr">
        <is>
          <t>Pradhan Mantri Kaushal Vikas Yojana 4.0 - Recognition Of Prior Learning</t>
        </is>
      </c>
      <c r="G608" s="43" t="inlineStr">
        <is>
          <t>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 On passing with at least 70% marks, the applicant is awarded a graded (A/B) Skill Certificate and Marksheet, issued via DigiLocker, an email/phone download link, and the SID profile page.</t>
        </is>
      </c>
      <c r="H608" s="49" t="inlineStr">
        <is>
          <t>2</t>
        </is>
      </c>
      <c r="I608" s="49" t="str"/>
      <c r="J608" s="55">
        <f>INT((ROW()-2)/50)+1</f>
        <v/>
      </c>
      <c r="K608" s="55">
        <f>IF(H608="","Pending",IF(OR(H608="0",H608="1",H608="2",H608="U"),"Complete","Invalid"))</f>
        <v/>
      </c>
    </row>
    <row r="609" ht="84" customHeight="1">
      <c r="A609" s="43" t="inlineStr">
        <is>
          <t>v2q-028-candidate-09</t>
        </is>
      </c>
      <c r="B609" s="43" t="inlineStr">
        <is>
          <t>v2q-028</t>
        </is>
      </c>
      <c r="C609" s="43" t="inlineStr">
        <is>
          <t>What does PMKVY Recognition of Prior Learning certify, and which other pathway from its ministry serves candidates seeking fresh short-term skills training?</t>
        </is>
      </c>
      <c r="D609" s="43" t="inlineStr">
        <is>
          <t>PMKVY Recognition of Prior Learning certifies candidates’ existing skills. PMKVY Short-Term Training, under the same Ministry of Skill Development and Entrepreneurship, provides fresh skilling, reskilling, or upskilling.</t>
        </is>
      </c>
      <c r="E609" s="43" t="inlineStr">
        <is>
          <t>pilot-v2-doc-pmkvy-rpl-0002-a3163111d20f</t>
        </is>
      </c>
      <c r="F609" s="43" t="inlineStr">
        <is>
          <t>Pradhan Mantri Kaushal Vikas Yojana 4.0 - Recognition Of Prior Learning</t>
        </is>
      </c>
      <c r="G609" s="43" t="inlineStr">
        <is>
          <t>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 Mode of disbursement: Funds are transferred directly to the RPL-PIA's bank account through Direct Benefit Transfer (DBT).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The applicant should be an Indian national. The applicant should possess a valid Aadhaar. The applicant should be in the age group of 18 to 59 years. The applicant should be a candidate with prior learning experience or skills, willing to get assessed and certified. The applicant should have prior experience in the job role for which RPL certification is being sought, as specified in the job role. The applicant should fulfil the eligibility criteria of the respective job role.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t>
        </is>
      </c>
      <c r="H609" s="49" t="inlineStr">
        <is>
          <t>2</t>
        </is>
      </c>
      <c r="I609" s="49" t="str"/>
      <c r="J609" s="55">
        <f>INT((ROW()-2)/50)+1</f>
        <v/>
      </c>
      <c r="K609" s="55">
        <f>IF(H609="","Pending",IF(OR(H609="0",H609="1",H609="2",H609="U"),"Complete","Invalid"))</f>
        <v/>
      </c>
    </row>
    <row r="610" ht="84" customHeight="1">
      <c r="A610" s="43" t="inlineStr">
        <is>
          <t>v2q-003-candidate-23</t>
        </is>
      </c>
      <c r="B610" s="43" t="inlineStr">
        <is>
          <t>v2q-003</t>
        </is>
      </c>
      <c r="C610" s="43" t="inlineStr">
        <is>
          <t>What revised overdraft limit and RuPay accidental-insurance cover are stated for PMJDY?</t>
        </is>
      </c>
      <c r="D610" s="43" t="inlineStr">
        <is>
          <t>PMJDY states a revised overdraft limit of ₹10,000 and accidental-insurance cover of ₹2 lakh for RuPay cardholders.</t>
        </is>
      </c>
      <c r="E610" s="43" t="inlineStr">
        <is>
          <t>pilot-v2-doc-mgnrega-0001-5203a455caa6</t>
        </is>
      </c>
      <c r="F610" s="43" t="inlineStr">
        <is>
          <t>Mahatma Gandhi National Rural Employment Guarantee Act</t>
        </is>
      </c>
      <c r="G610"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610" s="49" t="inlineStr">
        <is>
          <t>0</t>
        </is>
      </c>
      <c r="I610" s="49" t="str"/>
      <c r="J610" s="55">
        <f>INT((ROW()-2)/50)+1</f>
        <v/>
      </c>
      <c r="K610" s="55">
        <f>IF(H610="","Pending",IF(OR(H610="0",H610="1",H610="2",H610="U"),"Complete","Invalid"))</f>
        <v/>
      </c>
    </row>
    <row r="611" ht="84" customHeight="1">
      <c r="A611" s="43" t="inlineStr">
        <is>
          <t>v2q-022-candidate-02</t>
        </is>
      </c>
      <c r="B611" s="43" t="inlineStr">
        <is>
          <t>v2q-022</t>
        </is>
      </c>
      <c r="C611" s="43" t="inlineStr">
        <is>
          <t>Which finance programme relies on Member Lending Institutions to extend assistance to non-corporate micro-enterprises?</t>
        </is>
      </c>
      <c r="D611" s="43" t="inlineStr">
        <is>
          <t>Eligible Member Lending Institutions extend PMMY financial assistance and provide the scheme’s micro-loans to qualifying micro and small enterprises.</t>
        </is>
      </c>
      <c r="E611" s="43" t="inlineStr">
        <is>
          <t>pilot-v2-doc-pmay-g-0005-c6e2fcfefcd0</t>
        </is>
      </c>
      <c r="F611" s="43" t="inlineStr">
        <is>
          <t>Pradhan Mantri Awaas Yojana - Gramin</t>
        </is>
      </c>
      <c r="G611" s="43" t="inlineStr">
        <is>
          <t>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is>
      </c>
      <c r="H611" s="49" t="inlineStr">
        <is>
          <t>0</t>
        </is>
      </c>
      <c r="I611" s="49" t="str"/>
      <c r="J611" s="55">
        <f>INT((ROW()-2)/50)+1</f>
        <v/>
      </c>
      <c r="K611" s="55">
        <f>IF(H611="","Pending",IF(OR(H611="0",H611="1",H611="2",H611="U"),"Complete","Invalid"))</f>
        <v/>
      </c>
    </row>
    <row r="612" ht="84" customHeight="1">
      <c r="A612" s="43" t="inlineStr">
        <is>
          <t>v2q-024-candidate-04</t>
        </is>
      </c>
      <c r="B612" s="43" t="inlineStr">
        <is>
          <t>v2q-024</t>
        </is>
      </c>
      <c r="C612" s="43" t="inlineStr">
        <is>
          <t>Which national health-assurance programme does NHA implement under the health ministry?</t>
        </is>
      </c>
      <c r="D612" s="43" t="inlineStr">
        <is>
          <t>The National Health Authority implements AB-PMJAY under the Ministry of Health and Family Welfare.</t>
        </is>
      </c>
      <c r="E612" s="43" t="inlineStr">
        <is>
          <t>pilot-v2-doc-pm-kisan-guidelines-0005-7d487843ff7f</t>
        </is>
      </c>
      <c r="F612" s="43" t="inlineStr">
        <is>
          <t>PM-KISAN Operational Guidelines</t>
        </is>
      </c>
      <c r="G612" s="43" t="inlineStr">
        <is>
          <t>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is>
      </c>
      <c r="H612" s="49" t="inlineStr">
        <is>
          <t>0</t>
        </is>
      </c>
      <c r="I612" s="49" t="str"/>
      <c r="J612" s="55">
        <f>INT((ROW()-2)/50)+1</f>
        <v/>
      </c>
      <c r="K612" s="55">
        <f>IF(H612="","Pending",IF(OR(H612="0",H612="1",H612="2",H612="U"),"Complete","Invalid"))</f>
        <v/>
      </c>
    </row>
    <row r="613" ht="84" customHeight="1">
      <c r="A613" s="43" t="inlineStr">
        <is>
          <t>v2q-023-candidate-09</t>
        </is>
      </c>
      <c r="B613" s="43" t="inlineStr">
        <is>
          <t>v2q-023</t>
        </is>
      </c>
      <c r="C613" s="43" t="inlineStr">
        <is>
          <t>What role does a Gram Panchayat play when a household registers for MGNREGA?</t>
        </is>
      </c>
      <c r="D613" s="43" t="inlineStr">
        <is>
          <t>A household may apply through its local Gram Panchayat, which verifies residence, household identity, and adult membership details.</t>
        </is>
      </c>
      <c r="E613" s="43" t="inlineStr">
        <is>
          <t>pilot-v2-doc-pmay-u-0001-b64fadc4bf6b</t>
        </is>
      </c>
      <c r="F613" s="43" t="inlineStr">
        <is>
          <t>Pradhan Mantri Awas Yojana - Urban</t>
        </is>
      </c>
      <c r="G613"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613" s="49" t="inlineStr">
        <is>
          <t>0</t>
        </is>
      </c>
      <c r="I613" s="49" t="str"/>
      <c r="J613" s="55">
        <f>INT((ROW()-2)/50)+1</f>
        <v/>
      </c>
      <c r="K613" s="55">
        <f>IF(H613="","Pending",IF(OR(H613="0",H613="1",H613="2",H613="U"),"Complete","Invalid"))</f>
        <v/>
      </c>
    </row>
    <row r="614" ht="84" customHeight="1">
      <c r="A614" s="43" t="inlineStr">
        <is>
          <t>v2q-024-candidate-23</t>
        </is>
      </c>
      <c r="B614" s="43" t="inlineStr">
        <is>
          <t>v2q-024</t>
        </is>
      </c>
      <c r="C614" s="43" t="inlineStr">
        <is>
          <t>Which national health-assurance programme does NHA implement under the health ministry?</t>
        </is>
      </c>
      <c r="D614" s="43" t="inlineStr">
        <is>
          <t>The National Health Authority implements AB-PMJAY under the Ministry of Health and Family Welfare.</t>
        </is>
      </c>
      <c r="E614" s="43" t="inlineStr">
        <is>
          <t>pilot-v2-doc-ab-pmjay-0004-2e5074722cd7</t>
        </is>
      </c>
      <c r="F614" s="43" t="inlineStr">
        <is>
          <t>Ayushman Bharat - Pradhan Mantri Jan Arogya Yojana</t>
        </is>
      </c>
      <c r="G614" s="43" t="inlineStr">
        <is>
          <t>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H614" s="49" t="inlineStr">
        <is>
          <t>1</t>
        </is>
      </c>
      <c r="I614" s="49" t="str"/>
      <c r="J614" s="55">
        <f>INT((ROW()-2)/50)+1</f>
        <v/>
      </c>
      <c r="K614" s="55">
        <f>IF(H614="","Pending",IF(OR(H614="0",H614="1",H614="2",H614="U"),"Complete","Invalid"))</f>
        <v/>
      </c>
    </row>
    <row r="615" ht="84" customHeight="1">
      <c r="A615" s="43" t="inlineStr">
        <is>
          <t>v2q-026-candidate-05</t>
        </is>
      </c>
      <c r="B615" s="43" t="inlineStr">
        <is>
          <t>v2q-026</t>
        </is>
      </c>
      <c r="C615" s="43" t="inlineStr">
        <is>
          <t>What employment guarantee does MGNREGA provide, and which other programme from its ministry supplies pucca houses to rural households?</t>
        </is>
      </c>
      <c r="D615" s="43" t="inlineStr">
        <is>
          <t>MGNREGA guarantees at least 100 days of wage employment to qualifying rural households. PMAY-G, under the same Ministry of Rural Development, supports pucca houses with basic amenities for eligible rural households.</t>
        </is>
      </c>
      <c r="E615" s="43" t="inlineStr">
        <is>
          <t>pilot-v2-doc-pmay-g-0000-d4162175877d</t>
        </is>
      </c>
      <c r="F615" s="43" t="inlineStr">
        <is>
          <t>Pradhan Mantri Awaas Yojana - Gramin</t>
        </is>
      </c>
      <c r="G615"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615" s="49" t="inlineStr">
        <is>
          <t>2</t>
        </is>
      </c>
      <c r="I615" s="49" t="str"/>
      <c r="J615" s="55">
        <f>INT((ROW()-2)/50)+1</f>
        <v/>
      </c>
      <c r="K615" s="55">
        <f>IF(H615="","Pending",IF(OR(H615="0",H615="1",H615="2",H615="U"),"Complete","Invalid"))</f>
        <v/>
      </c>
    </row>
    <row r="616" ht="84" customHeight="1">
      <c r="A616" s="43" t="inlineStr">
        <is>
          <t>v2q-030-candidate-12</t>
        </is>
      </c>
      <c r="B616" s="43" t="inlineStr">
        <is>
          <t>v2q-030</t>
        </is>
      </c>
      <c r="C616" s="43" t="inlineStr">
        <is>
          <t>What retirement benefit does APY offer, and which life-insurance programme administered through the same department covers death from any cause?</t>
        </is>
      </c>
      <c r="D616" s="43" t="inlineStr">
        <is>
          <t>APY offers guaranteed monthly pension options after age 60. PMJJBY, associated with the same Department of Financial Services, provides life cover for death due to any reason.</t>
        </is>
      </c>
      <c r="E616" s="43" t="inlineStr">
        <is>
          <t>pilot-v2-doc-apy-0003-68e7199c9d14</t>
        </is>
      </c>
      <c r="F616" s="43" t="inlineStr">
        <is>
          <t>Atal Pension Yojana</t>
        </is>
      </c>
      <c r="G616"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616" s="49" t="inlineStr">
        <is>
          <t>2</t>
        </is>
      </c>
      <c r="I616" s="49" t="str"/>
      <c r="J616" s="55">
        <f>INT((ROW()-2)/50)+1</f>
        <v/>
      </c>
      <c r="K616" s="55">
        <f>IF(H616="","Pending",IF(OR(H616="0",H616="1",H616="2",H616="U"),"Complete","Invalid"))</f>
        <v/>
      </c>
    </row>
    <row r="617" ht="84" customHeight="1">
      <c r="A617" s="43" t="inlineStr">
        <is>
          <t>v2q-027-candidate-13</t>
        </is>
      </c>
      <c r="B617" s="43" t="inlineStr">
        <is>
          <t>v2q-027</t>
        </is>
      </c>
      <c r="C617" s="43" t="inlineStr">
        <is>
          <t>What livelihood mechanism does PM SVANidhi offer street vendors, and which other programme from its ministry addresses housing shortages for eligible urban households?</t>
        </is>
      </c>
      <c r="D617" s="43" t="inlineStr">
        <is>
          <t>PM SVANidhi offers street vendors collateral-free working-capital loans, interest subsidy, and digital-payment incentives. PMAY-U, under the same Ministry of Housing and Urban Affairs, provides housing support for eligible urban households.</t>
        </is>
      </c>
      <c r="E617" s="43" t="inlineStr">
        <is>
          <t>pilot-v2-doc-pm-kmy-guidelines-0002-ae644e1f8c00</t>
        </is>
      </c>
      <c r="F617" s="43" t="inlineStr">
        <is>
          <t>Pradhan Mantri Kisan Maan Dhan Yojana Operational Guidelines</t>
        </is>
      </c>
      <c r="G617"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617" s="49" t="inlineStr">
        <is>
          <t>0</t>
        </is>
      </c>
      <c r="I617" s="49" t="str"/>
      <c r="J617" s="55">
        <f>INT((ROW()-2)/50)+1</f>
        <v/>
      </c>
      <c r="K617" s="55">
        <f>IF(H617="","Pending",IF(OR(H617="0",H617="1",H617="2",H617="U"),"Complete","Invalid"))</f>
        <v/>
      </c>
    </row>
    <row r="618" ht="84" customHeight="1">
      <c r="A618" s="43" t="inlineStr">
        <is>
          <t>v2q-016-candidate-13</t>
        </is>
      </c>
      <c r="B618" s="43" t="inlineStr">
        <is>
          <t>v2q-016</t>
        </is>
      </c>
      <c r="C618" s="43" t="inlineStr">
        <is>
          <t>How can an experienced worker obtain formal recognition for skills learned outside a training course?</t>
        </is>
      </c>
      <c r="D618" s="43" t="inlineStr">
        <is>
          <t>PMKVY 4.0 Recognition of Prior Learning assesses, upskills, and certifies candidates who already possess relevant skills or prior-learning experience.</t>
        </is>
      </c>
      <c r="E618" s="43" t="inlineStr">
        <is>
          <t>pilot-v2-doc-pmkvy-stt-0001-ea2787dec4e8</t>
        </is>
      </c>
      <c r="F618" s="43" t="inlineStr">
        <is>
          <t>Pradhan Mantri Kaushal Vikas Yojana 4.0 - Short-Term Training</t>
        </is>
      </c>
      <c r="G618"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618" s="49" t="inlineStr">
        <is>
          <t>1</t>
        </is>
      </c>
      <c r="I618" s="49" t="str"/>
      <c r="J618" s="55">
        <f>INT((ROW()-2)/50)+1</f>
        <v/>
      </c>
      <c r="K618" s="55">
        <f>IF(H618="","Pending",IF(OR(H618="0",H618="1",H618="2",H618="U"),"Complete","Invalid"))</f>
        <v/>
      </c>
    </row>
    <row r="619" ht="84" customHeight="1">
      <c r="A619" s="43" t="inlineStr">
        <is>
          <t>v2q-021-candidate-05</t>
        </is>
      </c>
      <c r="B619" s="43" t="inlineStr">
        <is>
          <t>v2q-021</t>
        </is>
      </c>
      <c r="C619" s="43" t="inlineStr">
        <is>
          <t>How do insurance companies and banks participate in PMFBY?</t>
        </is>
      </c>
      <c r="D619" s="43" t="inlineStr">
        <is>
          <t>PMFBY is implemented through a network of insurance companies and banks to provide crop-insurance protection to farmers.</t>
        </is>
      </c>
      <c r="E619" s="43" t="inlineStr">
        <is>
          <t>pilot-v2-doc-pmfby-0002-5c46025b568d</t>
        </is>
      </c>
      <c r="F619" s="43" t="inlineStr">
        <is>
          <t>Pradhan Mantri Fasal Bima Yojna (PMFBY)</t>
        </is>
      </c>
      <c r="G619" s="43" t="inlineStr">
        <is>
          <t>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is>
      </c>
      <c r="H619" s="49" t="inlineStr">
        <is>
          <t>1</t>
        </is>
      </c>
      <c r="I619" s="49" t="str"/>
      <c r="J619" s="55">
        <f>INT((ROW()-2)/50)+1</f>
        <v/>
      </c>
      <c r="K619" s="55">
        <f>IF(H619="","Pending",IF(OR(H619="0",H619="1",H619="2",H619="U"),"Complete","Invalid"))</f>
        <v/>
      </c>
    </row>
    <row r="620" ht="84" customHeight="1">
      <c r="A620" s="43" t="inlineStr">
        <is>
          <t>v2q-027-candidate-20</t>
        </is>
      </c>
      <c r="B620" s="43" t="inlineStr">
        <is>
          <t>v2q-027</t>
        </is>
      </c>
      <c r="C620" s="43" t="inlineStr">
        <is>
          <t>What livelihood mechanism does PM SVANidhi offer street vendors, and which other programme from its ministry addresses housing shortages for eligible urban households?</t>
        </is>
      </c>
      <c r="D620" s="43" t="inlineStr">
        <is>
          <t>PM SVANidhi offers street vendors collateral-free working-capital loans, interest subsidy, and digital-payment incentives. PMAY-U, under the same Ministry of Housing and Urban Affairs, provides housing support for eligible urban households.</t>
        </is>
      </c>
      <c r="E620" s="43" t="inlineStr">
        <is>
          <t>pilot-v2-doc-ab-pmjay-0000-94c82a474579</t>
        </is>
      </c>
      <c r="F620" s="43" t="inlineStr">
        <is>
          <t>Ayushman Bharat - Pradhan Mantri Jan Arogya Yojana</t>
        </is>
      </c>
      <c r="G620"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620" s="49" t="inlineStr">
        <is>
          <t>0</t>
        </is>
      </c>
      <c r="I620" s="49" t="str"/>
      <c r="J620" s="55">
        <f>INT((ROW()-2)/50)+1</f>
        <v/>
      </c>
      <c r="K620" s="55">
        <f>IF(H620="","Pending",IF(OR(H620="0",H620="1",H620="2",H620="U"),"Complete","Invalid"))</f>
        <v/>
      </c>
    </row>
    <row r="621" ht="84" customHeight="1">
      <c r="A621" s="43" t="inlineStr">
        <is>
          <t>v2q-028-candidate-17</t>
        </is>
      </c>
      <c r="B621" s="43" t="inlineStr">
        <is>
          <t>v2q-028</t>
        </is>
      </c>
      <c r="C621" s="43" t="inlineStr">
        <is>
          <t>What does PMKVY Recognition of Prior Learning certify, and which other pathway from its ministry serves candidates seeking fresh short-term skills training?</t>
        </is>
      </c>
      <c r="D621" s="43" t="inlineStr">
        <is>
          <t>PMKVY Recognition of Prior Learning certifies candidates’ existing skills. PMKVY Short-Term Training, under the same Ministry of Skill Development and Entrepreneurship, provides fresh skilling, reskilling, or upskilling.</t>
        </is>
      </c>
      <c r="E621" s="43" t="inlineStr">
        <is>
          <t>pilot-v2-doc-pm-kisan-guidelines-0015-763c5a3df330</t>
        </is>
      </c>
      <c r="F621" s="43" t="inlineStr">
        <is>
          <t>PM-KISAN Operational Guidelines</t>
        </is>
      </c>
      <c r="G621" s="43" t="inlineStr">
        <is>
          <t>shall have to ensure Aadhaar linked bank accounts of the
beneficiaries, except in case of Assam, Meghalaya and Jammu &amp; Kashmir, which have
been given exemption  till the 31st March, 2021. For ease of implementation the States
may consider assigning the job of sponsoring bank for the scheme to the same bank
being used by concerned State for MGNREGS.
10.4  The funds pertaining to income support benefit as well as administrative charges
shall be released from Government  of  India  to  the State designated account  /
mechanism. Detailed modalities for transfer of funds are as under:
(a)   The amount due to the beneficiaries under the scheme is to be paid directly into
their bank accounts through the mechanism of Direct Benefit Transfer (DBT). The
amount will flow to the accounts of the beneficiaries held in destination banks, through
the accredited bank of DAC&amp;FW and sponsoring banks of the States /UTs, using PFMS
portal. The destination bank can be a Schedule Bank, Post  office, Rural Bank,
Cooperative Bank or any other Financial Institution.
(b)   The important steps to be taken by State  / UT Governments and the Union
Government for timely payment into the beneficiary account are listed below:
   A. State / UT Government:
    i.   State  / UT Governments are  to  identify the  beneficiaries and upload  the
       beneficiary details on the web portal of the scheme.
   ii.   Correctness of beneficiary details is to be ensured by State / UT Governments.
       Further, speedy reconciliation in case of wrong / incomplete bank details of the
       beneficiary should be ensured.
  iii.   For facilitating payment, Fund Transfer Order (FTO) for the total amount in a
      batch of beneficiaries is to be signed by State  / UT on the web portal of the
      scheme.
  iv.   State / UT Governments are also required to identify a bank in</t>
        </is>
      </c>
      <c r="H621" s="49" t="inlineStr">
        <is>
          <t>0</t>
        </is>
      </c>
      <c r="I621" s="49" t="str"/>
      <c r="J621" s="55">
        <f>INT((ROW()-2)/50)+1</f>
        <v/>
      </c>
      <c r="K621" s="55">
        <f>IF(H621="","Pending",IF(OR(H621="0",H621="1",H621="2",H621="U"),"Complete","Invalid"))</f>
        <v/>
      </c>
    </row>
    <row r="622" ht="84" customHeight="1">
      <c r="A622" s="43" t="inlineStr">
        <is>
          <t>v2q-010-candidate-19</t>
        </is>
      </c>
      <c r="B622" s="43" t="inlineStr">
        <is>
          <t>v2q-010</t>
        </is>
      </c>
      <c r="C622" s="43" t="inlineStr">
        <is>
          <t>What is the full form of PM POSHAN, and what meal benefit does it provide?</t>
        </is>
      </c>
      <c r="D622" s="43" t="inlineStr">
        <is>
          <t>PM POSHAN means Prime Minister's Overarching Scheme for Holistic Nourishment and provides one hot cooked meal to children in government and government-aided schools.</t>
        </is>
      </c>
      <c r="E622" s="43" t="inlineStr">
        <is>
          <t>pilot-v2-doc-ab-pmjay-0003-1242266bb260</t>
        </is>
      </c>
      <c r="F622" s="43" t="inlineStr">
        <is>
          <t>Ayushman Bharat - Pradhan Mantri Jan Arogya Yojana</t>
        </is>
      </c>
      <c r="G622"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622" s="49" t="inlineStr">
        <is>
          <t>0</t>
        </is>
      </c>
      <c r="I622" s="49" t="str"/>
      <c r="J622" s="55">
        <f>INT((ROW()-2)/50)+1</f>
        <v/>
      </c>
      <c r="K622" s="55">
        <f>IF(H622="","Pending",IF(OR(H622="0",H622="1",H622="2",H622="U"),"Complete","Invalid"))</f>
        <v/>
      </c>
    </row>
    <row r="623" ht="84" customHeight="1">
      <c r="A623" s="43" t="inlineStr">
        <is>
          <t>v2q-030-candidate-07</t>
        </is>
      </c>
      <c r="B623" s="43" t="inlineStr">
        <is>
          <t>v2q-030</t>
        </is>
      </c>
      <c r="C623" s="43" t="inlineStr">
        <is>
          <t>What retirement benefit does APY offer, and which life-insurance programme administered through the same department covers death from any cause?</t>
        </is>
      </c>
      <c r="D623" s="43" t="inlineStr">
        <is>
          <t>APY offers guaranteed monthly pension options after age 60. PMJJBY, associated with the same Department of Financial Services, provides life cover for death due to any reason.</t>
        </is>
      </c>
      <c r="E623" s="43" t="inlineStr">
        <is>
          <t>pilot-v2-doc-pm-kmy-guidelines-0006-2652020c834e</t>
        </is>
      </c>
      <c r="F623" s="43" t="inlineStr">
        <is>
          <t>Pradhan Mantri Kisan Maan Dhan Yojana Operational Guidelines</t>
        </is>
      </c>
      <c r="G623" s="43" t="inlineStr">
        <is>
          <t>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is>
      </c>
      <c r="H623" s="49" t="inlineStr">
        <is>
          <t>0</t>
        </is>
      </c>
      <c r="I623" s="49" t="str"/>
      <c r="J623" s="55">
        <f>INT((ROW()-2)/50)+1</f>
        <v/>
      </c>
      <c r="K623" s="55">
        <f>IF(H623="","Pending",IF(OR(H623="0",H623="1",H623="2",H623="U"),"Complete","Invalid"))</f>
        <v/>
      </c>
    </row>
    <row r="624" ht="84" customHeight="1">
      <c r="A624" s="43" t="inlineStr">
        <is>
          <t>v2q-018-candidate-02</t>
        </is>
      </c>
      <c r="B624" s="43" t="inlineStr">
        <is>
          <t>v2q-018</t>
        </is>
      </c>
      <c r="C624" s="43" t="inlineStr">
        <is>
          <t>Which initiative helps city households across officially defined lower and middle income bands obtain permanent homes?</t>
        </is>
      </c>
      <c r="D624" s="43" t="inlineStr">
        <is>
          <t>Pradhan Mantri Awas Yojana–Urban addresses urban housing shortages and supports eligible EWS, LIG, and MIG households, including slum dwellers.</t>
        </is>
      </c>
      <c r="E624" s="43" t="inlineStr">
        <is>
          <t>pilot-v2-doc-apy-0000-c43dd88d7899</t>
        </is>
      </c>
      <c r="F624" s="43" t="inlineStr">
        <is>
          <t>Atal Pension Yojana</t>
        </is>
      </c>
      <c r="G624"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624" s="49" t="inlineStr">
        <is>
          <t>0</t>
        </is>
      </c>
      <c r="I624" s="49" t="str"/>
      <c r="J624" s="55">
        <f>INT((ROW()-2)/50)+1</f>
        <v/>
      </c>
      <c r="K624" s="55">
        <f>IF(H624="","Pending",IF(OR(H624="0",H624="1",H624="2",H624="U"),"Complete","Invalid"))</f>
        <v/>
      </c>
    </row>
    <row r="625" ht="84" customHeight="1">
      <c r="A625" s="43" t="inlineStr">
        <is>
          <t>v2q-017-candidate-14</t>
        </is>
      </c>
      <c r="B625" s="43" t="inlineStr">
        <is>
          <t>v2q-017</t>
        </is>
      </c>
      <c r="C625" s="43" t="inlineStr">
        <is>
          <t>Which training route serves people no longer in education or work who need an initial occupational skill?</t>
        </is>
      </c>
      <c r="D625" s="43" t="inlineStr">
        <is>
          <t>PMKVY 4.0 Short-Term Training provides fresh skilling, reskilling, or upskilling for groups including school or college dropouts and unemployed youth.</t>
        </is>
      </c>
      <c r="E625" s="43" t="inlineStr">
        <is>
          <t>pilot-v2-doc-pmkvy-stt-0004-0258e7b813c4</t>
        </is>
      </c>
      <c r="F625" s="43" t="inlineStr">
        <is>
          <t>Pradhan Mantri Kaushal Vikas Yojana 4.0 - Short-Term Training</t>
        </is>
      </c>
      <c r="G625" s="43" t="inlineStr">
        <is>
          <t>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 Training (OJT), and assessment by the NCVET-approved Awarding Bodies and Assessment Agencies. Step 6: On passing the assessment, the QR-code-based digital certificate is issued through DigiLocker, an email/phone download link, and the SID profile page, and a free printed certificate is provided by the Training Provider.</t>
        </is>
      </c>
      <c r="H625" s="49" t="inlineStr">
        <is>
          <t>1</t>
        </is>
      </c>
      <c r="I625" s="49" t="str"/>
      <c r="J625" s="55">
        <f>INT((ROW()-2)/50)+1</f>
        <v/>
      </c>
      <c r="K625" s="55">
        <f>IF(H625="","Pending",IF(OR(H625="0",H625="1",H625="2",H625="U"),"Complete","Invalid"))</f>
        <v/>
      </c>
    </row>
    <row r="626" ht="84" customHeight="1">
      <c r="A626" s="43" t="inlineStr">
        <is>
          <t>v2q-016-candidate-05</t>
        </is>
      </c>
      <c r="B626" s="43" t="inlineStr">
        <is>
          <t>v2q-016</t>
        </is>
      </c>
      <c r="C626" s="43" t="inlineStr">
        <is>
          <t>How can an experienced worker obtain formal recognition for skills learned outside a training course?</t>
        </is>
      </c>
      <c r="D626" s="43" t="inlineStr">
        <is>
          <t>PMKVY 4.0 Recognition of Prior Learning assesses, upskills, and certifies candidates who already possess relevant skills or prior-learning experience.</t>
        </is>
      </c>
      <c r="E626" s="43" t="inlineStr">
        <is>
          <t>pilot-v2-doc-pmkvy-sp-0002-dc58b95bab9b</t>
        </is>
      </c>
      <c r="F626" s="43" t="inlineStr">
        <is>
          <t>Pradhan Mantri Kaushal Vikas Yojana 4.0- Special Projects</t>
        </is>
      </c>
      <c r="G626" s="43" t="inlineStr">
        <is>
          <t>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is>
      </c>
      <c r="H626" s="49" t="inlineStr">
        <is>
          <t>1</t>
        </is>
      </c>
      <c r="I626" s="49" t="str"/>
      <c r="J626" s="55">
        <f>INT((ROW()-2)/50)+1</f>
        <v/>
      </c>
      <c r="K626" s="55">
        <f>IF(H626="","Pending",IF(OR(H626="0",H626="1",H626="2",H626="U"),"Complete","Invalid"))</f>
        <v/>
      </c>
    </row>
    <row r="627" ht="84" customHeight="1">
      <c r="A627" s="43" t="inlineStr">
        <is>
          <t>v2q-007-candidate-21</t>
        </is>
      </c>
      <c r="B627" s="43" t="inlineStr">
        <is>
          <t>v2q-007</t>
        </is>
      </c>
      <c r="C627" s="43" t="inlineStr">
        <is>
          <t>What is the full form of PMJJBY, and which event does its life insurance cover?</t>
        </is>
      </c>
      <c r="D627" s="43" t="inlineStr">
        <is>
          <t>PMJJBY stands for Pradhan Mantri Jeevan Jyoti Bima Yojana and provides life-insurance cover for death due to any reason.</t>
        </is>
      </c>
      <c r="E627" s="43" t="inlineStr">
        <is>
          <t>pilot-v2-doc-pmmy-0000-70a89ee32765</t>
        </is>
      </c>
      <c r="F627" s="43" t="inlineStr">
        <is>
          <t>Pradhan Mantri Mudra Yojana</t>
        </is>
      </c>
      <c r="G627"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627" s="49" t="inlineStr">
        <is>
          <t>0</t>
        </is>
      </c>
      <c r="I627" s="49" t="str"/>
      <c r="J627" s="55">
        <f>INT((ROW()-2)/50)+1</f>
        <v/>
      </c>
      <c r="K627" s="55">
        <f>IF(H627="","Pending",IF(OR(H627="0",H627="1",H627="2",H627="U"),"Complete","Invalid"))</f>
        <v/>
      </c>
    </row>
    <row r="628" ht="84" customHeight="1">
      <c r="A628" s="43" t="inlineStr">
        <is>
          <t>v2q-032-candidate-02</t>
        </is>
      </c>
      <c r="B628" s="43" t="inlineStr">
        <is>
          <t>v2q-032</t>
        </is>
      </c>
      <c r="C628" s="43" t="inlineStr">
        <is>
          <t>How do three farmer programmes separately address crop loss, current income needs, and old-age income security?</t>
        </is>
      </c>
      <c r="D628" s="43" t="inlineStr">
        <is>
          <t>PMFBY insures crops against specified losses; PM-KISAN transfers ₹6,000 annually to eligible farmer families; PM-KMY provides eligible small and marginal farmers an assured ₹3,000 monthly pension from age 60.</t>
        </is>
      </c>
      <c r="E628" s="43" t="inlineStr">
        <is>
          <t>pilot-v2-doc-pm-kmy-guidelines-0000-0582a8323d67</t>
        </is>
      </c>
      <c r="F628" s="43" t="inlineStr">
        <is>
          <t>Pradhan Mantri Kisan Maan Dhan Yojana Operational Guidelines</t>
        </is>
      </c>
      <c r="G628"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628" s="49" t="inlineStr">
        <is>
          <t>2</t>
        </is>
      </c>
      <c r="I628" s="49" t="str"/>
      <c r="J628" s="55">
        <f>INT((ROW()-2)/50)+1</f>
        <v/>
      </c>
      <c r="K628" s="55">
        <f>IF(H628="","Pending",IF(OR(H628="0",H628="1",H628="2",H628="U"),"Complete","Invalid"))</f>
        <v/>
      </c>
    </row>
    <row r="629" ht="84" customHeight="1">
      <c r="A629" s="43" t="inlineStr">
        <is>
          <t>v2q-025-candidate-18</t>
        </is>
      </c>
      <c r="B629" s="43" t="inlineStr">
        <is>
          <t>v2q-025</t>
        </is>
      </c>
      <c r="C629" s="43" t="inlineStr">
        <is>
          <t>What banking function does PMJDY provide, and which other programme from its ministry finances income-generating micro-enterprises?</t>
        </is>
      </c>
      <c r="D629" s="43" t="inlineStr">
        <is>
          <t>PMJDY provides universal banking services for unbanked households. PMMY, under the same Ministry of Finance, provides micro-credit for income-generating micro-enterprises.</t>
        </is>
      </c>
      <c r="E629" s="43" t="inlineStr">
        <is>
          <t>pilot-v2-doc-pmjjby-0000-47f7bb620cd4</t>
        </is>
      </c>
      <c r="F629" s="43" t="inlineStr">
        <is>
          <t>Pradhan Mantri Jeevan Jyoti Bima Yojana</t>
        </is>
      </c>
      <c r="G629"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629" s="49" t="inlineStr">
        <is>
          <t>0</t>
        </is>
      </c>
      <c r="I629" s="49" t="str"/>
      <c r="J629" s="55">
        <f>INT((ROW()-2)/50)+1</f>
        <v/>
      </c>
      <c r="K629" s="55">
        <f>IF(H629="","Pending",IF(OR(H629="0",H629="1",H629="2",H629="U"),"Complete","Invalid"))</f>
        <v/>
      </c>
    </row>
    <row r="630" ht="84" customHeight="1">
      <c r="A630" s="43" t="inlineStr">
        <is>
          <t>v2q-021-candidate-20</t>
        </is>
      </c>
      <c r="B630" s="43" t="inlineStr">
        <is>
          <t>v2q-021</t>
        </is>
      </c>
      <c r="C630" s="43" t="inlineStr">
        <is>
          <t>How do insurance companies and banks participate in PMFBY?</t>
        </is>
      </c>
      <c r="D630" s="43" t="inlineStr">
        <is>
          <t>PMFBY is implemented through a network of insurance companies and banks to provide crop-insurance protection to farmers.</t>
        </is>
      </c>
      <c r="E630" s="43" t="inlineStr">
        <is>
          <t>pilot-v2-doc-ab-pmjay-0000-94c82a474579</t>
        </is>
      </c>
      <c r="F630" s="43" t="inlineStr">
        <is>
          <t>Ayushman Bharat - Pradhan Mantri Jan Arogya Yojana</t>
        </is>
      </c>
      <c r="G630"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630" s="49" t="inlineStr">
        <is>
          <t>0</t>
        </is>
      </c>
      <c r="I630" s="49" t="str"/>
      <c r="J630" s="55">
        <f>INT((ROW()-2)/50)+1</f>
        <v/>
      </c>
      <c r="K630" s="55">
        <f>IF(H630="","Pending",IF(OR(H630="0",H630="1",H630="2",H630="U"),"Complete","Invalid"))</f>
        <v/>
      </c>
    </row>
    <row r="631" ht="84" customHeight="1">
      <c r="A631" s="43" t="inlineStr">
        <is>
          <t>v2q-024-candidate-18</t>
        </is>
      </c>
      <c r="B631" s="43" t="inlineStr">
        <is>
          <t>v2q-024</t>
        </is>
      </c>
      <c r="C631" s="43" t="inlineStr">
        <is>
          <t>Which national health-assurance programme does NHA implement under the health ministry?</t>
        </is>
      </c>
      <c r="D631" s="43" t="inlineStr">
        <is>
          <t>The National Health Authority implements AB-PMJAY under the Ministry of Health and Family Welfare.</t>
        </is>
      </c>
      <c r="E631" s="43" t="inlineStr">
        <is>
          <t>pilot-v2-doc-ab-pmjay-0002-58c80bb24a6c</t>
        </is>
      </c>
      <c r="F631" s="43" t="inlineStr">
        <is>
          <t>Ayushman Bharat - Pradhan Mantri Jan Arogya Yojana</t>
        </is>
      </c>
      <c r="G631"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631" s="49" t="inlineStr">
        <is>
          <t>1</t>
        </is>
      </c>
      <c r="I631" s="49" t="str"/>
      <c r="J631" s="55">
        <f>INT((ROW()-2)/50)+1</f>
        <v/>
      </c>
      <c r="K631" s="55">
        <f>IF(H631="","Pending",IF(OR(H631="0",H631="1",H631="2",H631="U"),"Complete","Invalid"))</f>
        <v/>
      </c>
    </row>
    <row r="632" ht="84" customHeight="1">
      <c r="A632" s="43" t="inlineStr">
        <is>
          <t>v2q-020-candidate-19</t>
        </is>
      </c>
      <c r="B632" s="43" t="inlineStr">
        <is>
          <t>v2q-020</t>
        </is>
      </c>
      <c r="C632" s="43" t="inlineStr">
        <is>
          <t>How do NSDC and SPIAs divide responsibility in the Special Projects arm of the national skill mission?</t>
        </is>
      </c>
      <c r="D632" s="43" t="inlineStr">
        <is>
          <t>NSDC supports the ministry’s implementation, while Special Projects Implementing Agencies deliver the projects on the ground.</t>
        </is>
      </c>
      <c r="E632" s="43" t="inlineStr">
        <is>
          <t>pilot-v2-doc-pmay-g-0002-e08c1e347071</t>
        </is>
      </c>
      <c r="F632" s="43" t="inlineStr">
        <is>
          <t>Pradhan Mantri Awaas Yojana - Gramin</t>
        </is>
      </c>
      <c r="G632"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632" s="49" t="inlineStr">
        <is>
          <t>0</t>
        </is>
      </c>
      <c r="I632" s="49" t="str"/>
      <c r="J632" s="55">
        <f>INT((ROW()-2)/50)+1</f>
        <v/>
      </c>
      <c r="K632" s="55">
        <f>IF(H632="","Pending",IF(OR(H632="0",H632="1",H632="2",H632="U"),"Complete","Invalid"))</f>
        <v/>
      </c>
    </row>
    <row r="633" ht="84" customHeight="1">
      <c r="A633" s="43" t="inlineStr">
        <is>
          <t>v2q-020-candidate-15</t>
        </is>
      </c>
      <c r="B633" s="43" t="inlineStr">
        <is>
          <t>v2q-020</t>
        </is>
      </c>
      <c r="C633" s="43" t="inlineStr">
        <is>
          <t>How do NSDC and SPIAs divide responsibility in the Special Projects arm of the national skill mission?</t>
        </is>
      </c>
      <c r="D633" s="43" t="inlineStr">
        <is>
          <t>NSDC supports the ministry’s implementation, while Special Projects Implementing Agencies deliver the projects on the ground.</t>
        </is>
      </c>
      <c r="E633" s="43" t="inlineStr">
        <is>
          <t>pilot-v2-doc-pmkvy-stt-0000-546ef459ea0e</t>
        </is>
      </c>
      <c r="F633" s="43" t="inlineStr">
        <is>
          <t>Pradhan Mantri Kaushal Vikas Yojana 4.0 - Short-Term Training</t>
        </is>
      </c>
      <c r="G633" s="43" t="inlineStr">
        <is>
          <t>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is>
      </c>
      <c r="H633" s="49" t="inlineStr">
        <is>
          <t>1</t>
        </is>
      </c>
      <c r="I633" s="49" t="str"/>
      <c r="J633" s="55">
        <f>INT((ROW()-2)/50)+1</f>
        <v/>
      </c>
      <c r="K633" s="55">
        <f>IF(H633="","Pending",IF(OR(H633="0",H633="1",H633="2",H633="U"),"Complete","Invalid"))</f>
        <v/>
      </c>
    </row>
    <row r="634" ht="84" customHeight="1">
      <c r="A634" s="43" t="inlineStr">
        <is>
          <t>v2q-024-candidate-21</t>
        </is>
      </c>
      <c r="B634" s="43" t="inlineStr">
        <is>
          <t>v2q-024</t>
        </is>
      </c>
      <c r="C634" s="43" t="inlineStr">
        <is>
          <t>Which national health-assurance programme does NHA implement under the health ministry?</t>
        </is>
      </c>
      <c r="D634" s="43" t="inlineStr">
        <is>
          <t>The National Health Authority implements AB-PMJAY under the Ministry of Health and Family Welfare.</t>
        </is>
      </c>
      <c r="E634" s="43" t="inlineStr">
        <is>
          <t>pilot-v2-doc-apy-0001-add48d27a4a2</t>
        </is>
      </c>
      <c r="F634" s="43" t="inlineStr">
        <is>
          <t>Atal Pension Yojana</t>
        </is>
      </c>
      <c r="G634"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634" s="49" t="inlineStr">
        <is>
          <t>0</t>
        </is>
      </c>
      <c r="I634" s="49" t="str"/>
      <c r="J634" s="55">
        <f>INT((ROW()-2)/50)+1</f>
        <v/>
      </c>
      <c r="K634" s="55">
        <f>IF(H634="","Pending",IF(OR(H634="0",H634="1",H634="2",H634="U"),"Complete","Invalid"))</f>
        <v/>
      </c>
    </row>
    <row r="635" ht="84" customHeight="1">
      <c r="A635" s="43" t="inlineStr">
        <is>
          <t>v2q-016-candidate-06</t>
        </is>
      </c>
      <c r="B635" s="43" t="inlineStr">
        <is>
          <t>v2q-016</t>
        </is>
      </c>
      <c r="C635" s="43" t="inlineStr">
        <is>
          <t>How can an experienced worker obtain formal recognition for skills learned outside a training course?</t>
        </is>
      </c>
      <c r="D635" s="43" t="inlineStr">
        <is>
          <t>PMKVY 4.0 Recognition of Prior Learning assesses, upskills, and certifies candidates who already possess relevant skills or prior-learning experience.</t>
        </is>
      </c>
      <c r="E635" s="43" t="inlineStr">
        <is>
          <t>pilot-v2-doc-pmkvy-rpl-0002-a3163111d20f</t>
        </is>
      </c>
      <c r="F635" s="43" t="inlineStr">
        <is>
          <t>Pradhan Mantri Kaushal Vikas Yojana 4.0 - Recognition Of Prior Learning</t>
        </is>
      </c>
      <c r="G635" s="43" t="inlineStr">
        <is>
          <t>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 Mode of disbursement: Funds are transferred directly to the RPL-PIA's bank account through Direct Benefit Transfer (DBT).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The applicant should be an Indian national. The applicant should possess a valid Aadhaar. The applicant should be in the age group of 18 to 59 years. The applicant should be a candidate with prior learning experience or skills, willing to get assessed and certified. The applicant should have prior experience in the job role for which RPL certification is being sought, as specified in the job role. The applicant should fulfil the eligibility criteria of the respective job role.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t>
        </is>
      </c>
      <c r="H635" s="49" t="inlineStr">
        <is>
          <t>2</t>
        </is>
      </c>
      <c r="I635" s="49" t="str"/>
      <c r="J635" s="55">
        <f>INT((ROW()-2)/50)+1</f>
        <v/>
      </c>
      <c r="K635" s="55">
        <f>IF(H635="","Pending",IF(OR(H635="0",H635="1",H635="2",H635="U"),"Complete","Invalid"))</f>
        <v/>
      </c>
    </row>
    <row r="636" ht="84" customHeight="1">
      <c r="A636" s="43" t="inlineStr">
        <is>
          <t>v2q-029-candidate-18</t>
        </is>
      </c>
      <c r="B636" s="43" t="inlineStr">
        <is>
          <t>v2q-029</t>
        </is>
      </c>
      <c r="C636" s="43" t="inlineStr">
        <is>
          <t>What migrant-focused facility distinguishes Ujjwala 2.0, and what clean-cooking transition was established by its predecessor programme?</t>
        </is>
      </c>
      <c r="D636" s="43" t="inlineStr">
        <is>
          <t>Ujjwala 2.0 added 1.6 crore LPG connections with a special facility for migrant households. Its predecessor, Pradhan Mantri Ujjwala Yojana, sought to replace traditional cooking fuels with LPG access for rural and deprived households.</t>
        </is>
      </c>
      <c r="E636" s="43" t="inlineStr">
        <is>
          <t>pilot-v2-doc-mgnrega-0002-bbbce5f319d4</t>
        </is>
      </c>
      <c r="F636" s="43" t="inlineStr">
        <is>
          <t>Mahatma Gandhi National Rural Employment Guarantee Act</t>
        </is>
      </c>
      <c r="G636"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636" s="49" t="inlineStr">
        <is>
          <t>0</t>
        </is>
      </c>
      <c r="I636" s="49" t="str"/>
      <c r="J636" s="55">
        <f>INT((ROW()-2)/50)+1</f>
        <v/>
      </c>
      <c r="K636" s="55">
        <f>IF(H636="","Pending",IF(OR(H636="0",H636="1",H636="2",H636="U"),"Complete","Invalid"))</f>
        <v/>
      </c>
    </row>
    <row r="637" ht="84" customHeight="1">
      <c r="A637" s="43" t="inlineStr">
        <is>
          <t>v2q-016-candidate-11</t>
        </is>
      </c>
      <c r="B637" s="43" t="inlineStr">
        <is>
          <t>v2q-016</t>
        </is>
      </c>
      <c r="C637" s="43" t="inlineStr">
        <is>
          <t>How can an experienced worker obtain formal recognition for skills learned outside a training course?</t>
        </is>
      </c>
      <c r="D637" s="43" t="inlineStr">
        <is>
          <t>PMKVY 4.0 Recognition of Prior Learning assesses, upskills, and certifies candidates who already possess relevant skills or prior-learning experience.</t>
        </is>
      </c>
      <c r="E637" s="43" t="inlineStr">
        <is>
          <t>pilot-v2-doc-pmkvy-stt-0004-0258e7b813c4</t>
        </is>
      </c>
      <c r="F637" s="43" t="inlineStr">
        <is>
          <t>Pradhan Mantri Kaushal Vikas Yojana 4.0 - Short-Term Training</t>
        </is>
      </c>
      <c r="G637" s="43" t="inlineStr">
        <is>
          <t>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 Training (OJT), and assessment by the NCVET-approved Awarding Bodies and Assessment Agencies. Step 6: On passing the assessment, the QR-code-based digital certificate is issued through DigiLocker, an email/phone download link, and the SID profile page, and a free printed certificate is provided by the Training Provider.</t>
        </is>
      </c>
      <c r="H637" s="49" t="inlineStr">
        <is>
          <t>1</t>
        </is>
      </c>
      <c r="I637" s="49" t="str"/>
      <c r="J637" s="55">
        <f>INT((ROW()-2)/50)+1</f>
        <v/>
      </c>
      <c r="K637" s="55">
        <f>IF(H637="","Pending",IF(OR(H637="0",H637="1",H637="2",H637="U"),"Complete","Invalid"))</f>
        <v/>
      </c>
    </row>
    <row r="638" ht="84" customHeight="1">
      <c r="A638" s="43" t="inlineStr">
        <is>
          <t>v2q-019-candidate-02</t>
        </is>
      </c>
      <c r="B638" s="43" t="inlineStr">
        <is>
          <t>v2q-019</t>
        </is>
      </c>
      <c r="C638" s="43" t="inlineStr">
        <is>
          <t>What role does the Ministry of Petroleum and Natural Gas have in Ujjwala 2.0?</t>
        </is>
      </c>
      <c r="D638" s="43" t="inlineStr">
        <is>
          <t>The ministry introduced Ujjwala 2.0 to provide LPG connections and promote clean cooking fuel among poor, rural, and deprived households.</t>
        </is>
      </c>
      <c r="E638" s="43" t="inlineStr">
        <is>
          <t>pilot-v2-doc-pm-janman-0000-69ac65d10edc</t>
        </is>
      </c>
      <c r="F638" s="43" t="inlineStr">
        <is>
          <t>PM Janjati Adivasi Nyaya Maha Abhiyan (PM JANMAN)</t>
        </is>
      </c>
      <c r="G638"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638" s="49" t="inlineStr">
        <is>
          <t>0</t>
        </is>
      </c>
      <c r="I638" s="49" t="str"/>
      <c r="J638" s="55">
        <f>INT((ROW()-2)/50)+1</f>
        <v/>
      </c>
      <c r="K638" s="55">
        <f>IF(H638="","Pending",IF(OR(H638="0",H638="1",H638="2",H638="U"),"Complete","Invalid"))</f>
        <v/>
      </c>
    </row>
    <row r="639" ht="84" customHeight="1">
      <c r="A639" s="43" t="inlineStr">
        <is>
          <t>v2q-009-candidate-06</t>
        </is>
      </c>
      <c r="B639" s="43" t="inlineStr">
        <is>
          <t>v2q-009</t>
        </is>
      </c>
      <c r="C639" s="43" t="inlineStr">
        <is>
          <t>What does APY stand for, and what monthly pension range does it guarantee after age 60?</t>
        </is>
      </c>
      <c r="D639" s="43" t="inlineStr">
        <is>
          <t>APY stands for Atal Pension Yojana and offers guaranteed monthly pension options from ₹1,000 to ₹5,000 after age 60.</t>
        </is>
      </c>
      <c r="E639" s="43" t="inlineStr">
        <is>
          <t>pilot-v2-doc-pm-kmy-guidelines-0016-4c964e587f94</t>
        </is>
      </c>
      <c r="F639" s="43" t="inlineStr">
        <is>
          <t>Pradhan Mantri Kisan Maan Dhan Yojana Operational Guidelines</t>
        </is>
      </c>
      <c r="G639" s="43" t="inlineStr">
        <is>
          <t>outstanding dues, along
         with interest of the rate as determined by the Government from time to time.
        (e) After  lapse  of  period  of  three  years from  the  date  of  last  unpaid
          contribution, SMS alerts / notices would be stopped. However, Subscriber may
       make inquiries about status of his account through dedicated call centre or
       make on-line web inquires. He/she  will, however, be allowed to regularize
         his/her contribution by paying the entire outstanding dues, along with interest
          of the rate as determined by the Government from time to time.
          (f)  If a beneficiary becomes  ineligible  for the Pension under PM-KMY, his
        account will be active but Government’s contribution (50%) shall be stopped.  If
          beneficiary agrees to pay the entire amount of the contribution, he  will be
         allowed to operate the account.  At the age of 60, he shall be allowed to
        withdraw his contribution with an interest equivalent to the prevailing saving
        bank rates.
10.  COMMUTATION OF PENSION:
      There is no provision for commutation of pension under any circumstances.
11.   LIABILITY ON ACCOUNT OF DEFICIT IN FUND
The issue of liability on account of deficit in the fund maintained by LIC may be decided
after due deliberations between Finance Ministry and LIC.
12.  LEGAL RIGHTS TO SUBSCRIBERS:
A subscriber or his / her beneficiary of this Scheme shall have no interest in the Master
Policy taken out in respect of the subscribers or any investment otherwise made by the
Ministry in 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t>
        </is>
      </c>
      <c r="H639" s="49" t="inlineStr">
        <is>
          <t>0</t>
        </is>
      </c>
      <c r="I639" s="49" t="str"/>
      <c r="J639" s="55">
        <f>INT((ROW()-2)/50)+1</f>
        <v/>
      </c>
      <c r="K639" s="55">
        <f>IF(H639="","Pending",IF(OR(H639="0",H639="1",H639="2",H639="U"),"Complete","Invalid"))</f>
        <v/>
      </c>
    </row>
    <row r="640" ht="84" customHeight="1">
      <c r="A640" s="43" t="inlineStr">
        <is>
          <t>v2q-013-candidate-17</t>
        </is>
      </c>
      <c r="B640" s="43" t="inlineStr">
        <is>
          <t>v2q-013</t>
        </is>
      </c>
      <c r="C640" s="43" t="inlineStr">
        <is>
          <t>Which initiative helps women in low-income countryside homes replace smoke-producing solid cooking materials with bottled gas?</t>
        </is>
      </c>
      <c r="D640" s="43" t="inlineStr">
        <is>
          <t>Pradhan Mantri Ujjwala Yojana provides LPG access to rural and deprived households that previously relied on traditional cooking fuels.</t>
        </is>
      </c>
      <c r="E640" s="43" t="inlineStr">
        <is>
          <t>pilot-v2-doc-pmuy2-0001-065bd619e9c6</t>
        </is>
      </c>
      <c r="F640" s="43" t="inlineStr">
        <is>
          <t>Pradhan Mantri Ujjwala Yojana 2.0</t>
        </is>
      </c>
      <c r="G640" s="43" t="inlineStr">
        <is>
          <t>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is>
      </c>
      <c r="H640" s="49" t="inlineStr">
        <is>
          <t>2</t>
        </is>
      </c>
      <c r="I640" s="49" t="str"/>
      <c r="J640" s="55">
        <f>INT((ROW()-2)/50)+1</f>
        <v/>
      </c>
      <c r="K640" s="55">
        <f>IF(H640="","Pending",IF(OR(H640="0",H640="1",H640="2",H640="U"),"Complete","Invalid"))</f>
        <v/>
      </c>
    </row>
    <row r="641" ht="84" customHeight="1">
      <c r="A641" s="43" t="inlineStr">
        <is>
          <t>v2q-007-candidate-28</t>
        </is>
      </c>
      <c r="B641" s="43" t="inlineStr">
        <is>
          <t>v2q-007</t>
        </is>
      </c>
      <c r="C641" s="43" t="inlineStr">
        <is>
          <t>What is the full form of PMJJBY, and which event does its life insurance cover?</t>
        </is>
      </c>
      <c r="D641" s="43" t="inlineStr">
        <is>
          <t>PMJJBY stands for Pradhan Mantri Jeevan Jyoti Bima Yojana and provides life-insurance cover for death due to any reason.</t>
        </is>
      </c>
      <c r="E641" s="43" t="inlineStr">
        <is>
          <t>pilot-v2-doc-ab-pmjay-0004-2e5074722cd7</t>
        </is>
      </c>
      <c r="F641" s="43" t="inlineStr">
        <is>
          <t>Ayushman Bharat - Pradhan Mantri Jan Arogya Yojana</t>
        </is>
      </c>
      <c r="G641" s="43" t="inlineStr">
        <is>
          <t>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H641" s="49" t="inlineStr">
        <is>
          <t>0</t>
        </is>
      </c>
      <c r="I641" s="49" t="str"/>
      <c r="J641" s="55">
        <f>INT((ROW()-2)/50)+1</f>
        <v/>
      </c>
      <c r="K641" s="55">
        <f>IF(H641="","Pending",IF(OR(H641="0",H641="1",H641="2",H641="U"),"Complete","Invalid"))</f>
        <v/>
      </c>
    </row>
    <row r="642" ht="84" customHeight="1">
      <c r="A642" s="43" t="inlineStr">
        <is>
          <t>v2q-004-candidate-20</t>
        </is>
      </c>
      <c r="B642" s="43" t="inlineStr">
        <is>
          <t>v2q-004</t>
        </is>
      </c>
      <c r="C642" s="43" t="inlineStr">
        <is>
          <t>What is the maximum micro-loan amount stated for PMMY?</t>
        </is>
      </c>
      <c r="D642" s="43" t="inlineStr">
        <is>
          <t>PMMY facilitates micro-credit loans up to ₹20 lakh for eligible income-generating micro-enterprises.</t>
        </is>
      </c>
      <c r="E642" s="43" t="inlineStr">
        <is>
          <t>pilot-v2-doc-pm-kisan-guidelines-0000-bbe94f08550e</t>
        </is>
      </c>
      <c r="F642" s="43" t="inlineStr">
        <is>
          <t>PM-KISAN Operational Guidelines</t>
        </is>
      </c>
      <c r="G642"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642" s="49" t="inlineStr">
        <is>
          <t>0</t>
        </is>
      </c>
      <c r="I642" s="49" t="str"/>
      <c r="J642" s="55">
        <f>INT((ROW()-2)/50)+1</f>
        <v/>
      </c>
      <c r="K642" s="55">
        <f>IF(H642="","Pending",IF(OR(H642="0",H642="1",H642="2",H642="U"),"Complete","Invalid"))</f>
        <v/>
      </c>
    </row>
    <row r="643" ht="84" customHeight="1">
      <c r="A643" s="43" t="inlineStr">
        <is>
          <t>v2q-026-candidate-17</t>
        </is>
      </c>
      <c r="B643" s="43" t="inlineStr">
        <is>
          <t>v2q-026</t>
        </is>
      </c>
      <c r="C643" s="43" t="inlineStr">
        <is>
          <t>What employment guarantee does MGNREGA provide, and which other programme from its ministry supplies pucca houses to rural households?</t>
        </is>
      </c>
      <c r="D643" s="43" t="inlineStr">
        <is>
          <t>MGNREGA guarantees at least 100 days of wage employment to qualifying rural households. PMAY-G, under the same Ministry of Rural Development, supports pucca houses with basic amenities for eligible rural households.</t>
        </is>
      </c>
      <c r="E643" s="43" t="inlineStr">
        <is>
          <t>pilot-v2-doc-ab-pmjay-0003-1242266bb260</t>
        </is>
      </c>
      <c r="F643" s="43" t="inlineStr">
        <is>
          <t>Ayushman Bharat - Pradhan Mantri Jan Arogya Yojana</t>
        </is>
      </c>
      <c r="G643"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643" s="49" t="inlineStr">
        <is>
          <t>0</t>
        </is>
      </c>
      <c r="I643" s="49" t="str"/>
      <c r="J643" s="55">
        <f>INT((ROW()-2)/50)+1</f>
        <v/>
      </c>
      <c r="K643" s="55">
        <f>IF(H643="","Pending",IF(OR(H643="0",H643="1",H643="2",H643="U"),"Complete","Invalid"))</f>
        <v/>
      </c>
    </row>
    <row r="644" ht="84" customHeight="1">
      <c r="A644" s="43" t="inlineStr">
        <is>
          <t>v2q-025-candidate-15</t>
        </is>
      </c>
      <c r="B644" s="43" t="inlineStr">
        <is>
          <t>v2q-025</t>
        </is>
      </c>
      <c r="C644" s="43" t="inlineStr">
        <is>
          <t>What banking function does PMJDY provide, and which other programme from its ministry finances income-generating micro-enterprises?</t>
        </is>
      </c>
      <c r="D644" s="43" t="inlineStr">
        <is>
          <t>PMJDY provides universal banking services for unbanked households. PMMY, under the same Ministry of Finance, provides micro-credit for income-generating micro-enterprises.</t>
        </is>
      </c>
      <c r="E644" s="43" t="inlineStr">
        <is>
          <t>pilot-v2-doc-pm-gkay-0000-c29b96f46a80</t>
        </is>
      </c>
      <c r="F644" s="43" t="inlineStr">
        <is>
          <t>Pradhan Mantri Garib Kalyan Anna Yojana</t>
        </is>
      </c>
      <c r="G644"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644" s="49" t="inlineStr">
        <is>
          <t>0</t>
        </is>
      </c>
      <c r="I644" s="49" t="str"/>
      <c r="J644" s="55">
        <f>INT((ROW()-2)/50)+1</f>
        <v/>
      </c>
      <c r="K644" s="55">
        <f>IF(H644="","Pending",IF(OR(H644="0",H644="1",H644="2",H644="U"),"Complete","Invalid"))</f>
        <v/>
      </c>
    </row>
    <row r="645" ht="84" customHeight="1">
      <c r="A645" s="43" t="inlineStr">
        <is>
          <t>v2q-024-candidate-15</t>
        </is>
      </c>
      <c r="B645" s="43" t="inlineStr">
        <is>
          <t>v2q-024</t>
        </is>
      </c>
      <c r="C645" s="43" t="inlineStr">
        <is>
          <t>Which national health-assurance programme does NHA implement under the health ministry?</t>
        </is>
      </c>
      <c r="D645" s="43" t="inlineStr">
        <is>
          <t>The National Health Authority implements AB-PMJAY under the Ministry of Health and Family Welfare.</t>
        </is>
      </c>
      <c r="E645" s="43" t="inlineStr">
        <is>
          <t>pilot-v2-doc-pmegp-0000-7b958e1ec4b0</t>
        </is>
      </c>
      <c r="F645" s="43" t="inlineStr">
        <is>
          <t>Prime Minister's Employment Generation Programme</t>
        </is>
      </c>
      <c r="G645"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645" s="49" t="inlineStr">
        <is>
          <t>0</t>
        </is>
      </c>
      <c r="I645" s="49" t="str"/>
      <c r="J645" s="55">
        <f>INT((ROW()-2)/50)+1</f>
        <v/>
      </c>
      <c r="K645" s="55">
        <f>IF(H645="","Pending",IF(OR(H645="0",H645="1",H645="2",H645="U"),"Complete","Invalid"))</f>
        <v/>
      </c>
    </row>
    <row r="646" ht="84" customHeight="1">
      <c r="A646" s="43" t="inlineStr">
        <is>
          <t>v2q-017-candidate-02</t>
        </is>
      </c>
      <c r="B646" s="43" t="inlineStr">
        <is>
          <t>v2q-017</t>
        </is>
      </c>
      <c r="C646" s="43" t="inlineStr">
        <is>
          <t>Which training route serves people no longer in education or work who need an initial occupational skill?</t>
        </is>
      </c>
      <c r="D646" s="43" t="inlineStr">
        <is>
          <t>PMKVY 4.0 Short-Term Training provides fresh skilling, reskilling, or upskilling for groups including school or college dropouts and unemployed youth.</t>
        </is>
      </c>
      <c r="E646" s="43" t="inlineStr">
        <is>
          <t>pilot-v2-doc-pmkvy-stt-0000-546ef459ea0e</t>
        </is>
      </c>
      <c r="F646" s="43" t="inlineStr">
        <is>
          <t>Pradhan Mantri Kaushal Vikas Yojana 4.0 - Short-Term Training</t>
        </is>
      </c>
      <c r="G646" s="43" t="inlineStr">
        <is>
          <t>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is>
      </c>
      <c r="H646" s="49" t="inlineStr">
        <is>
          <t>2</t>
        </is>
      </c>
      <c r="I646" s="49" t="str"/>
      <c r="J646" s="55">
        <f>INT((ROW()-2)/50)+1</f>
        <v/>
      </c>
      <c r="K646" s="55">
        <f>IF(H646="","Pending",IF(OR(H646="0",H646="1",H646="2",H646="U"),"Complete","Invalid"))</f>
        <v/>
      </c>
    </row>
    <row r="647" ht="84" customHeight="1">
      <c r="A647" s="43" t="inlineStr">
        <is>
          <t>v2q-008-candidate-15</t>
        </is>
      </c>
      <c r="B647" s="43" t="inlineStr">
        <is>
          <t>v2q-008</t>
        </is>
      </c>
      <c r="C647" s="43" t="inlineStr">
        <is>
          <t>Which accident-insurance programme is abbreviated PMSBY, and which outcomes trigger its cover?</t>
        </is>
      </c>
      <c r="D647" s="43" t="inlineStr">
        <is>
          <t>PMSBY stands for Pradhan Mantri Suraksha Bima Yojana and covers accidental death and disability.</t>
        </is>
      </c>
      <c r="E647" s="43" t="inlineStr">
        <is>
          <t>pilot-v2-doc-apy-0000-c43dd88d7899</t>
        </is>
      </c>
      <c r="F647" s="43" t="inlineStr">
        <is>
          <t>Atal Pension Yojana</t>
        </is>
      </c>
      <c r="G647"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647" s="49" t="inlineStr">
        <is>
          <t>0</t>
        </is>
      </c>
      <c r="I647" s="49" t="str"/>
      <c r="J647" s="55">
        <f>INT((ROW()-2)/50)+1</f>
        <v/>
      </c>
      <c r="K647" s="55">
        <f>IF(H647="","Pending",IF(OR(H647="0",H647="1",H647="2",H647="U"),"Complete","Invalid"))</f>
        <v/>
      </c>
    </row>
    <row r="648" ht="84" customHeight="1">
      <c r="A648" s="43" t="inlineStr">
        <is>
          <t>v2q-022-candidate-15</t>
        </is>
      </c>
      <c r="B648" s="43" t="inlineStr">
        <is>
          <t>v2q-022</t>
        </is>
      </c>
      <c r="C648" s="43" t="inlineStr">
        <is>
          <t>Which finance programme relies on Member Lending Institutions to extend assistance to non-corporate micro-enterprises?</t>
        </is>
      </c>
      <c r="D648" s="43" t="inlineStr">
        <is>
          <t>Eligible Member Lending Institutions extend PMMY financial assistance and provide the scheme’s micro-loans to qualifying micro and small enterprises.</t>
        </is>
      </c>
      <c r="E648" s="43" t="inlineStr">
        <is>
          <t>pilot-v2-doc-pm-svanidhi-0000-f6024bb09ca5</t>
        </is>
      </c>
      <c r="F648" s="43" t="inlineStr">
        <is>
          <t>PM Street Vendor’s AtmaNirbhar Nidhi (PM SVANidhi)</t>
        </is>
      </c>
      <c r="G648" s="43" t="inlineStr">
        <is>
          <t>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is>
      </c>
      <c r="H648" s="49" t="inlineStr">
        <is>
          <t>0</t>
        </is>
      </c>
      <c r="I648" s="49" t="str"/>
      <c r="J648" s="55">
        <f>INT((ROW()-2)/50)+1</f>
        <v/>
      </c>
      <c r="K648" s="55">
        <f>IF(H648="","Pending",IF(OR(H648="0",H648="1",H648="2",H648="U"),"Complete","Invalid"))</f>
        <v/>
      </c>
    </row>
    <row r="649" ht="84" customHeight="1">
      <c r="A649" s="43" t="inlineStr">
        <is>
          <t>v2q-004-candidate-15</t>
        </is>
      </c>
      <c r="B649" s="43" t="inlineStr">
        <is>
          <t>v2q-004</t>
        </is>
      </c>
      <c r="C649" s="43" t="inlineStr">
        <is>
          <t>What is the maximum micro-loan amount stated for PMMY?</t>
        </is>
      </c>
      <c r="D649" s="43" t="inlineStr">
        <is>
          <t>PMMY facilitates micro-credit loans up to ₹20 lakh for eligible income-generating micro-enterprises.</t>
        </is>
      </c>
      <c r="E649" s="43" t="inlineStr">
        <is>
          <t>pilot-v2-doc-pm-kmy-guidelines-0021-7ce201d9d183</t>
        </is>
      </c>
      <c r="F649" s="43" t="inlineStr">
        <is>
          <t>Pradhan Mantri Kisan Maan Dhan Yojana Operational Guidelines</t>
        </is>
      </c>
      <c r="G649"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649" s="49" t="inlineStr">
        <is>
          <t>0</t>
        </is>
      </c>
      <c r="I649" s="49" t="str"/>
      <c r="J649" s="55">
        <f>INT((ROW()-2)/50)+1</f>
        <v/>
      </c>
      <c r="K649" s="55">
        <f>IF(H649="","Pending",IF(OR(H649="0",H649="1",H649="2",H649="U"),"Complete","Invalid"))</f>
        <v/>
      </c>
    </row>
    <row r="650" ht="84" customHeight="1">
      <c r="A650" s="43" t="inlineStr">
        <is>
          <t>v2q-029-candidate-16</t>
        </is>
      </c>
      <c r="B650" s="43" t="inlineStr">
        <is>
          <t>v2q-029</t>
        </is>
      </c>
      <c r="C650" s="43" t="inlineStr">
        <is>
          <t>What migrant-focused facility distinguishes Ujjwala 2.0, and what clean-cooking transition was established by its predecessor programme?</t>
        </is>
      </c>
      <c r="D650" s="43" t="inlineStr">
        <is>
          <t>Ujjwala 2.0 added 1.6 crore LPG connections with a special facility for migrant households. Its predecessor, Pradhan Mantri Ujjwala Yojana, sought to replace traditional cooking fuels with LPG access for rural and deprived households.</t>
        </is>
      </c>
      <c r="E650" s="43" t="inlineStr">
        <is>
          <t>pilot-v2-doc-ab-pmjay-0003-1242266bb260</t>
        </is>
      </c>
      <c r="F650" s="43" t="inlineStr">
        <is>
          <t>Ayushman Bharat - Pradhan Mantri Jan Arogya Yojana</t>
        </is>
      </c>
      <c r="G650"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650" s="49" t="inlineStr">
        <is>
          <t>0</t>
        </is>
      </c>
      <c r="I650" s="49" t="str"/>
      <c r="J650" s="55">
        <f>INT((ROW()-2)/50)+1</f>
        <v/>
      </c>
      <c r="K650" s="55">
        <f>IF(H650="","Pending",IF(OR(H650="0",H650="1",H650="2",H650="U"),"Complete","Invalid"))</f>
        <v/>
      </c>
    </row>
    <row r="651" ht="84" customHeight="1">
      <c r="A651" s="43" t="inlineStr">
        <is>
          <t>v2q-025-candidate-08</t>
        </is>
      </c>
      <c r="B651" s="43" t="inlineStr">
        <is>
          <t>v2q-025</t>
        </is>
      </c>
      <c r="C651" s="43" t="inlineStr">
        <is>
          <t>What banking function does PMJDY provide, and which other programme from its ministry finances income-generating micro-enterprises?</t>
        </is>
      </c>
      <c r="D651" s="43" t="inlineStr">
        <is>
          <t>PMJDY provides universal banking services for unbanked households. PMMY, under the same Ministry of Finance, provides micro-credit for income-generating micro-enterprises.</t>
        </is>
      </c>
      <c r="E651" s="43" t="inlineStr">
        <is>
          <t>pilot-v2-doc-pmmy-0000-70a89ee32765</t>
        </is>
      </c>
      <c r="F651" s="43" t="inlineStr">
        <is>
          <t>Pradhan Mantri Mudra Yojana</t>
        </is>
      </c>
      <c r="G651"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651" s="49" t="inlineStr">
        <is>
          <t>2</t>
        </is>
      </c>
      <c r="I651" s="49" t="str"/>
      <c r="J651" s="55">
        <f>INT((ROW()-2)/50)+1</f>
        <v/>
      </c>
      <c r="K651" s="55">
        <f>IF(H651="","Pending",IF(OR(H651="0",H651="1",H651="2",H651="U"),"Complete","Invalid"))</f>
        <v/>
      </c>
    </row>
    <row r="652" ht="84" customHeight="1">
      <c r="A652" s="43" t="inlineStr">
        <is>
          <t>v2q-014-candidate-02</t>
        </is>
      </c>
      <c r="B652" s="43" t="inlineStr">
        <is>
          <t>v2q-014</t>
        </is>
      </c>
      <c r="C652" s="43" t="inlineStr">
        <is>
          <t>Under the national ration programme, what monthly cereal allocation goes to families in the poorest entitlement tier and to each person in the priority tier?</t>
        </is>
      </c>
      <c r="D652" s="43" t="inlineStr">
        <is>
          <t>AAY families receive 35 kilograms per family per month, while PHH beneficiaries receive 5 kilograms per person per month.</t>
        </is>
      </c>
      <c r="E652" s="43" t="inlineStr">
        <is>
          <t>pilot-v2-doc-pmegp-0003-43256e8e6645</t>
        </is>
      </c>
      <c r="F652" s="43" t="inlineStr">
        <is>
          <t>Prime Minister's Employment Generation Programme</t>
        </is>
      </c>
      <c r="G652" s="43" t="inlineStr">
        <is>
          <t>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is>
      </c>
      <c r="H652" s="49" t="inlineStr">
        <is>
          <t>0</t>
        </is>
      </c>
      <c r="I652" s="49" t="str"/>
      <c r="J652" s="55">
        <f>INT((ROW()-2)/50)+1</f>
        <v/>
      </c>
      <c r="K652" s="55">
        <f>IF(H652="","Pending",IF(OR(H652="0",H652="1",H652="2",H652="U"),"Complete","Invalid"))</f>
        <v/>
      </c>
    </row>
    <row r="653" ht="84" customHeight="1">
      <c r="A653" s="43" t="inlineStr">
        <is>
          <t>v2q-032-candidate-16</t>
        </is>
      </c>
      <c r="B653" s="43" t="inlineStr">
        <is>
          <t>v2q-032</t>
        </is>
      </c>
      <c r="C653" s="43" t="inlineStr">
        <is>
          <t>How do three farmer programmes separately address crop loss, current income needs, and old-age income security?</t>
        </is>
      </c>
      <c r="D653" s="43" t="inlineStr">
        <is>
          <t>PMFBY insures crops against specified losses; PM-KISAN transfers ₹6,000 annually to eligible farmer families; PM-KMY provides eligible small and marginal farmers an assured ₹3,000 monthly pension from age 60.</t>
        </is>
      </c>
      <c r="E653" s="43" t="inlineStr">
        <is>
          <t>pilot-v2-doc-mgnrega-0000-7e6d80b47566</t>
        </is>
      </c>
      <c r="F653" s="43" t="inlineStr">
        <is>
          <t>Mahatma Gandhi National Rural Employment Guarantee Act</t>
        </is>
      </c>
      <c r="G653" s="43" t="inlineStr">
        <is>
          <t>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is>
      </c>
      <c r="H653" s="49" t="inlineStr">
        <is>
          <t>0</t>
        </is>
      </c>
      <c r="I653" s="49" t="str"/>
      <c r="J653" s="55">
        <f>INT((ROW()-2)/50)+1</f>
        <v/>
      </c>
      <c r="K653" s="55">
        <f>IF(H653="","Pending",IF(OR(H653="0",H653="1",H653="2",H653="U"),"Complete","Invalid"))</f>
        <v/>
      </c>
    </row>
    <row r="654" ht="84" customHeight="1">
      <c r="A654" s="43" t="inlineStr">
        <is>
          <t>v2q-025-candidate-16</t>
        </is>
      </c>
      <c r="B654" s="43" t="inlineStr">
        <is>
          <t>v2q-025</t>
        </is>
      </c>
      <c r="C654" s="43" t="inlineStr">
        <is>
          <t>What banking function does PMJDY provide, and which other programme from its ministry finances income-generating micro-enterprises?</t>
        </is>
      </c>
      <c r="D654" s="43" t="inlineStr">
        <is>
          <t>PMJDY provides universal banking services for unbanked households. PMMY, under the same Ministry of Finance, provides micro-credit for income-generating micro-enterprises.</t>
        </is>
      </c>
      <c r="E654" s="43" t="inlineStr">
        <is>
          <t>pilot-v2-doc-pm-kmy-guidelines-0020-27037b9fe8a1</t>
        </is>
      </c>
      <c r="F654" s="43" t="inlineStr">
        <is>
          <t>Pradhan Mantri Kisan Maan Dhan Yojana Operational Guidelines</t>
        </is>
      </c>
      <c r="G654" s="43" t="inlineStr">
        <is>
          <t>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is>
      </c>
      <c r="H654" s="49" t="inlineStr">
        <is>
          <t>0</t>
        </is>
      </c>
      <c r="I654" s="49" t="str"/>
      <c r="J654" s="55">
        <f>INT((ROW()-2)/50)+1</f>
        <v/>
      </c>
      <c r="K654" s="55">
        <f>IF(H654="","Pending",IF(OR(H654="0",H654="1",H654="2",H654="U"),"Complete","Invalid"))</f>
        <v/>
      </c>
    </row>
    <row r="655" ht="84" customHeight="1">
      <c r="A655" s="43" t="inlineStr">
        <is>
          <t>v2q-022-candidate-25</t>
        </is>
      </c>
      <c r="B655" s="43" t="inlineStr">
        <is>
          <t>v2q-022</t>
        </is>
      </c>
      <c r="C655" s="43" t="inlineStr">
        <is>
          <t>Which finance programme relies on Member Lending Institutions to extend assistance to non-corporate micro-enterprises?</t>
        </is>
      </c>
      <c r="D655" s="43" t="inlineStr">
        <is>
          <t>Eligible Member Lending Institutions extend PMMY financial assistance and provide the scheme’s micro-loans to qualifying micro and small enterprises.</t>
        </is>
      </c>
      <c r="E655" s="43" t="inlineStr">
        <is>
          <t>pilot-v2-doc-ab-pmjay-0002-58c80bb24a6c</t>
        </is>
      </c>
      <c r="F655" s="43" t="inlineStr">
        <is>
          <t>Ayushman Bharat - Pradhan Mantri Jan Arogya Yojana</t>
        </is>
      </c>
      <c r="G655"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655" s="49" t="inlineStr">
        <is>
          <t>0</t>
        </is>
      </c>
      <c r="I655" s="49" t="str"/>
      <c r="J655" s="55">
        <f>INT((ROW()-2)/50)+1</f>
        <v/>
      </c>
      <c r="K655" s="55">
        <f>IF(H655="","Pending",IF(OR(H655="0",H655="1",H655="2",H655="U"),"Complete","Invalid"))</f>
        <v/>
      </c>
    </row>
    <row r="656" ht="84" customHeight="1">
      <c r="A656" s="43" t="inlineStr">
        <is>
          <t>v2q-013-candidate-06</t>
        </is>
      </c>
      <c r="B656" s="43" t="inlineStr">
        <is>
          <t>v2q-013</t>
        </is>
      </c>
      <c r="C656" s="43" t="inlineStr">
        <is>
          <t>Which initiative helps women in low-income countryside homes replace smoke-producing solid cooking materials with bottled gas?</t>
        </is>
      </c>
      <c r="D656" s="43" t="inlineStr">
        <is>
          <t>Pradhan Mantri Ujjwala Yojana provides LPG access to rural and deprived households that previously relied on traditional cooking fuels.</t>
        </is>
      </c>
      <c r="E656" s="43" t="inlineStr">
        <is>
          <t>pilot-v2-doc-pmuy-0001-5fd4d0cd2135</t>
        </is>
      </c>
      <c r="F656" s="43" t="inlineStr">
        <is>
          <t>Pradhan Mantri Ujjwala Yojana</t>
        </is>
      </c>
      <c r="G656"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656" s="49" t="inlineStr">
        <is>
          <t>2</t>
        </is>
      </c>
      <c r="I656" s="49" t="str"/>
      <c r="J656" s="55">
        <f>INT((ROW()-2)/50)+1</f>
        <v/>
      </c>
      <c r="K656" s="55">
        <f>IF(H656="","Pending",IF(OR(H656="0",H656="1",H656="2",H656="U"),"Complete","Invalid"))</f>
        <v/>
      </c>
    </row>
    <row r="657" ht="84" customHeight="1">
      <c r="A657" s="43" t="inlineStr">
        <is>
          <t>v2q-010-candidate-18</t>
        </is>
      </c>
      <c r="B657" s="43" t="inlineStr">
        <is>
          <t>v2q-010</t>
        </is>
      </c>
      <c r="C657" s="43" t="inlineStr">
        <is>
          <t>What is the full form of PM POSHAN, and what meal benefit does it provide?</t>
        </is>
      </c>
      <c r="D657" s="43" t="inlineStr">
        <is>
          <t>PM POSHAN means Prime Minister's Overarching Scheme for Holistic Nourishment and provides one hot cooked meal to children in government and government-aided schools.</t>
        </is>
      </c>
      <c r="E657" s="43" t="inlineStr">
        <is>
          <t>pilot-v2-doc-pm-janman-0000-69ac65d10edc</t>
        </is>
      </c>
      <c r="F657" s="43" t="inlineStr">
        <is>
          <t>PM Janjati Adivasi Nyaya Maha Abhiyan (PM JANMAN)</t>
        </is>
      </c>
      <c r="G657"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657" s="49" t="inlineStr">
        <is>
          <t>0</t>
        </is>
      </c>
      <c r="I657" s="49" t="str"/>
      <c r="J657" s="55">
        <f>INT((ROW()-2)/50)+1</f>
        <v/>
      </c>
      <c r="K657" s="55">
        <f>IF(H657="","Pending",IF(OR(H657="0",H657="1",H657="2",H657="U"),"Complete","Invalid"))</f>
        <v/>
      </c>
    </row>
    <row r="658" ht="84" customHeight="1">
      <c r="A658" s="43" t="inlineStr">
        <is>
          <t>v2q-021-candidate-15</t>
        </is>
      </c>
      <c r="B658" s="43" t="inlineStr">
        <is>
          <t>v2q-021</t>
        </is>
      </c>
      <c r="C658" s="43" t="inlineStr">
        <is>
          <t>How do insurance companies and banks participate in PMFBY?</t>
        </is>
      </c>
      <c r="D658" s="43" t="inlineStr">
        <is>
          <t>PMFBY is implemented through a network of insurance companies and banks to provide crop-insurance protection to farmers.</t>
        </is>
      </c>
      <c r="E658" s="43" t="inlineStr">
        <is>
          <t>pilot-v2-doc-pm-kmy-guidelines-0003-30d7d7a0db81</t>
        </is>
      </c>
      <c r="F658" s="43" t="inlineStr">
        <is>
          <t>Pradhan Mantri Kisan Maan Dhan Yojana Operational Guidelines</t>
        </is>
      </c>
      <c r="G658"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658" s="49" t="inlineStr">
        <is>
          <t>0</t>
        </is>
      </c>
      <c r="I658" s="49" t="str"/>
      <c r="J658" s="55">
        <f>INT((ROW()-2)/50)+1</f>
        <v/>
      </c>
      <c r="K658" s="55">
        <f>IF(H658="","Pending",IF(OR(H658="0",H658="1",H658="2",H658="U"),"Complete","Invalid"))</f>
        <v/>
      </c>
    </row>
    <row r="659" ht="84" customHeight="1">
      <c r="A659" s="43" t="inlineStr">
        <is>
          <t>v2q-007-candidate-10</t>
        </is>
      </c>
      <c r="B659" s="43" t="inlineStr">
        <is>
          <t>v2q-007</t>
        </is>
      </c>
      <c r="C659" s="43" t="inlineStr">
        <is>
          <t>What is the full form of PMJJBY, and which event does its life insurance cover?</t>
        </is>
      </c>
      <c r="D659" s="43" t="inlineStr">
        <is>
          <t>PMJJBY stands for Pradhan Mantri Jeevan Jyoti Bima Yojana and provides life-insurance cover for death due to any reason.</t>
        </is>
      </c>
      <c r="E659" s="43" t="inlineStr">
        <is>
          <t>pilot-v2-doc-pm-kmy-guidelines-0004-79b3bf95bb65</t>
        </is>
      </c>
      <c r="F659" s="43" t="inlineStr">
        <is>
          <t>Pradhan Mantri Kisan Maan Dhan Yojana Operational Guidelines</t>
        </is>
      </c>
      <c r="G659"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659" s="49" t="inlineStr">
        <is>
          <t>0</t>
        </is>
      </c>
      <c r="I659" s="49" t="str"/>
      <c r="J659" s="55">
        <f>INT((ROW()-2)/50)+1</f>
        <v/>
      </c>
      <c r="K659" s="55">
        <f>IF(H659="","Pending",IF(OR(H659="0",H659="1",H659="2",H659="U"),"Complete","Invalid"))</f>
        <v/>
      </c>
    </row>
    <row r="660" ht="84" customHeight="1">
      <c r="A660" s="43" t="inlineStr">
        <is>
          <t>v2q-005-candidate-05</t>
        </is>
      </c>
      <c r="B660" s="43" t="inlineStr">
        <is>
          <t>v2q-005</t>
        </is>
      </c>
      <c r="C660" s="43" t="inlineStr">
        <is>
          <t>How many days of wage employment does MGNREGA guarantee a rural household in a financial year?</t>
        </is>
      </c>
      <c r="D660" s="43" t="inlineStr">
        <is>
          <t>MGNREGA guarantees at least 100 days of wage employment per financial year to a rural household whose adult members volunteer for unskilled work.</t>
        </is>
      </c>
      <c r="E660" s="43" t="inlineStr">
        <is>
          <t>pilot-v2-doc-pm-kmy-guidelines-0000-0582a8323d67</t>
        </is>
      </c>
      <c r="F660" s="43" t="inlineStr">
        <is>
          <t>Pradhan Mantri Kisan Maan Dhan Yojana Operational Guidelines</t>
        </is>
      </c>
      <c r="G660" s="43" t="inlineStr">
        <is>
          <t>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is>
      </c>
      <c r="H660" s="49" t="inlineStr">
        <is>
          <t>0</t>
        </is>
      </c>
      <c r="I660" s="49" t="str"/>
      <c r="J660" s="55">
        <f>INT((ROW()-2)/50)+1</f>
        <v/>
      </c>
      <c r="K660" s="55">
        <f>IF(H660="","Pending",IF(OR(H660="0",H660="1",H660="2",H660="U"),"Complete","Invalid"))</f>
        <v/>
      </c>
    </row>
    <row r="661" ht="84" customHeight="1">
      <c r="A661" s="43" t="inlineStr">
        <is>
          <t>v2q-034-candidate-07</t>
        </is>
      </c>
      <c r="B661" s="43" t="inlineStr">
        <is>
          <t>v2q-034</t>
        </is>
      </c>
      <c r="C661" s="43" t="inlineStr">
        <is>
          <t>How do three programmes meet distinct household needs for rural housing, clean cooking, and food security?</t>
        </is>
      </c>
      <c r="D661" s="43" t="inlineStr">
        <is>
          <t>PMAY-G supports pucca rural housing with basic amenities; PMUY provides LPG access to deprived households replacing traditional cooking fuels; PMGKAY provides free foodgrains to eligible AAY and PHH ration-card holders.</t>
        </is>
      </c>
      <c r="E661" s="43" t="inlineStr">
        <is>
          <t>pilot-v2-doc-pm-gkay-0000-c29b96f46a80</t>
        </is>
      </c>
      <c r="F661" s="43" t="inlineStr">
        <is>
          <t>Pradhan Mantri Garib Kalyan Anna Yojana</t>
        </is>
      </c>
      <c r="G661"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661" s="49" t="inlineStr">
        <is>
          <t>2</t>
        </is>
      </c>
      <c r="I661" s="49" t="str"/>
      <c r="J661" s="55">
        <f>INT((ROW()-2)/50)+1</f>
        <v/>
      </c>
      <c r="K661" s="55">
        <f>IF(H661="","Pending",IF(OR(H661="0",H661="1",H661="2",H661="U"),"Complete","Invalid"))</f>
        <v/>
      </c>
    </row>
    <row r="662" ht="84" customHeight="1">
      <c r="A662" s="43" t="inlineStr">
        <is>
          <t>v2q-031-candidate-02</t>
        </is>
      </c>
      <c r="B662" s="43" t="inlineStr">
        <is>
          <t>v2q-031</t>
        </is>
      </c>
      <c r="C662" s="43" t="inlineStr">
        <is>
          <t>How do three finance-sector programmes combine basic banking, life insurance, and accident insurance?</t>
        </is>
      </c>
      <c r="D662" s="43" t="inlineStr">
        <is>
          <t>PMJDY provides universal banking and access to financial services; PMJJBY supplies life cover for death from any cause; PMSBY supplies accidental-death and disability cover.</t>
        </is>
      </c>
      <c r="E662" s="43" t="inlineStr">
        <is>
          <t>pilot-v2-doc-pmmy-0000-70a89ee32765</t>
        </is>
      </c>
      <c r="F662" s="43" t="inlineStr">
        <is>
          <t>Pradhan Mantri Mudra Yojana</t>
        </is>
      </c>
      <c r="G662"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662" s="49" t="inlineStr">
        <is>
          <t>0</t>
        </is>
      </c>
      <c r="I662" s="49" t="str"/>
      <c r="J662" s="55">
        <f>INT((ROW()-2)/50)+1</f>
        <v/>
      </c>
      <c r="K662" s="55">
        <f>IF(H662="","Pending",IF(OR(H662="0",H662="1",H662="2",H662="U"),"Complete","Invalid"))</f>
        <v/>
      </c>
    </row>
    <row r="663" ht="84" customHeight="1">
      <c r="A663" s="43" t="inlineStr">
        <is>
          <t>v2q-005-candidate-11</t>
        </is>
      </c>
      <c r="B663" s="43" t="inlineStr">
        <is>
          <t>v2q-005</t>
        </is>
      </c>
      <c r="C663" s="43" t="inlineStr">
        <is>
          <t>How many days of wage employment does MGNREGA guarantee a rural household in a financial year?</t>
        </is>
      </c>
      <c r="D663" s="43" t="inlineStr">
        <is>
          <t>MGNREGA guarantees at least 100 days of wage employment per financial year to a rural household whose adult members volunteer for unskilled work.</t>
        </is>
      </c>
      <c r="E663" s="43" t="inlineStr">
        <is>
          <t>pilot-v2-doc-pm-kisan-guidelines-0000-bbe94f08550e</t>
        </is>
      </c>
      <c r="F663" s="43" t="inlineStr">
        <is>
          <t>PM-KISAN Operational Guidelines</t>
        </is>
      </c>
      <c r="G663"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663" s="49" t="inlineStr">
        <is>
          <t>0</t>
        </is>
      </c>
      <c r="I663" s="49" t="str"/>
      <c r="J663" s="55">
        <f>INT((ROW()-2)/50)+1</f>
        <v/>
      </c>
      <c r="K663" s="55">
        <f>IF(H663="","Pending",IF(OR(H663="0",H663="1",H663="2",H663="U"),"Complete","Invalid"))</f>
        <v/>
      </c>
    </row>
    <row r="664" ht="84" customHeight="1">
      <c r="A664" s="43" t="inlineStr">
        <is>
          <t>v2q-024-candidate-03</t>
        </is>
      </c>
      <c r="B664" s="43" t="inlineStr">
        <is>
          <t>v2q-024</t>
        </is>
      </c>
      <c r="C664" s="43" t="inlineStr">
        <is>
          <t>Which national health-assurance programme does NHA implement under the health ministry?</t>
        </is>
      </c>
      <c r="D664" s="43" t="inlineStr">
        <is>
          <t>The National Health Authority implements AB-PMJAY under the Ministry of Health and Family Welfare.</t>
        </is>
      </c>
      <c r="E664" s="43" t="inlineStr">
        <is>
          <t>pilot-v2-doc-pm-kmy-guidelines-0004-79b3bf95bb65</t>
        </is>
      </c>
      <c r="F664" s="43" t="inlineStr">
        <is>
          <t>Pradhan Mantri Kisan Maan Dhan Yojana Operational Guidelines</t>
        </is>
      </c>
      <c r="G664" s="43" t="inlineStr">
        <is>
          <t>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is>
      </c>
      <c r="H664" s="49" t="inlineStr">
        <is>
          <t>0</t>
        </is>
      </c>
      <c r="I664" s="49" t="str"/>
      <c r="J664" s="55">
        <f>INT((ROW()-2)/50)+1</f>
        <v/>
      </c>
      <c r="K664" s="55">
        <f>IF(H664="","Pending",IF(OR(H664="0",H664="1",H664="2",H664="U"),"Complete","Invalid"))</f>
        <v/>
      </c>
    </row>
    <row r="665" ht="84" customHeight="1">
      <c r="A665" s="43" t="inlineStr">
        <is>
          <t>v2q-019-candidate-19</t>
        </is>
      </c>
      <c r="B665" s="43" t="inlineStr">
        <is>
          <t>v2q-019</t>
        </is>
      </c>
      <c r="C665" s="43" t="inlineStr">
        <is>
          <t>What role does the Ministry of Petroleum and Natural Gas have in Ujjwala 2.0?</t>
        </is>
      </c>
      <c r="D665" s="43" t="inlineStr">
        <is>
          <t>The ministry introduced Ujjwala 2.0 to provide LPG connections and promote clean cooking fuel among poor, rural, and deprived households.</t>
        </is>
      </c>
      <c r="E665" s="43" t="inlineStr">
        <is>
          <t>pilot-v2-doc-ab-pmjay-0003-1242266bb260</t>
        </is>
      </c>
      <c r="F665" s="43" t="inlineStr">
        <is>
          <t>Ayushman Bharat - Pradhan Mantri Jan Arogya Yojana</t>
        </is>
      </c>
      <c r="G665"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665" s="49" t="inlineStr">
        <is>
          <t>0</t>
        </is>
      </c>
      <c r="I665" s="49" t="str"/>
      <c r="J665" s="55">
        <f>INT((ROW()-2)/50)+1</f>
        <v/>
      </c>
      <c r="K665" s="55">
        <f>IF(H665="","Pending",IF(OR(H665="0",H665="1",H665="2",H665="U"),"Complete","Invalid"))</f>
        <v/>
      </c>
    </row>
    <row r="666" ht="84" customHeight="1">
      <c r="A666" s="43" t="inlineStr">
        <is>
          <t>v2q-023-candidate-17</t>
        </is>
      </c>
      <c r="B666" s="43" t="inlineStr">
        <is>
          <t>v2q-023</t>
        </is>
      </c>
      <c r="C666" s="43" t="inlineStr">
        <is>
          <t>What role does a Gram Panchayat play when a household registers for MGNREGA?</t>
        </is>
      </c>
      <c r="D666" s="43" t="inlineStr">
        <is>
          <t>A household may apply through its local Gram Panchayat, which verifies residence, household identity, and adult membership details.</t>
        </is>
      </c>
      <c r="E666" s="43" t="inlineStr">
        <is>
          <t>pilot-v2-doc-ab-pmjay-0002-58c80bb24a6c</t>
        </is>
      </c>
      <c r="F666" s="43" t="inlineStr">
        <is>
          <t>Ayushman Bharat - Pradhan Mantri Jan Arogya Yojana</t>
        </is>
      </c>
      <c r="G666"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666" s="49" t="inlineStr">
        <is>
          <t>0</t>
        </is>
      </c>
      <c r="I666" s="49" t="str"/>
      <c r="J666" s="55">
        <f>INT((ROW()-2)/50)+1</f>
        <v/>
      </c>
      <c r="K666" s="55">
        <f>IF(H666="","Pending",IF(OR(H666="0",H666="1",H666="2",H666="U"),"Complete","Invalid"))</f>
        <v/>
      </c>
    </row>
    <row r="667" ht="84" customHeight="1">
      <c r="A667" s="43" t="inlineStr">
        <is>
          <t>v2q-017-candidate-05</t>
        </is>
      </c>
      <c r="B667" s="43" t="inlineStr">
        <is>
          <t>v2q-017</t>
        </is>
      </c>
      <c r="C667" s="43" t="inlineStr">
        <is>
          <t>Which training route serves people no longer in education or work who need an initial occupational skill?</t>
        </is>
      </c>
      <c r="D667" s="43" t="inlineStr">
        <is>
          <t>PMKVY 4.0 Short-Term Training provides fresh skilling, reskilling, or upskilling for groups including school or college dropouts and unemployed youth.</t>
        </is>
      </c>
      <c r="E667" s="43" t="inlineStr">
        <is>
          <t>pilot-v2-doc-pmkvy-sp-0000-0fc5cf1d7fb0</t>
        </is>
      </c>
      <c r="F667" s="43" t="inlineStr">
        <is>
          <t>Pradhan Mantri Kaushal Vikas Yojana 4.0- Special Projects</t>
        </is>
      </c>
      <c r="G667"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667" s="49" t="inlineStr">
        <is>
          <t>1</t>
        </is>
      </c>
      <c r="I667" s="49" t="str"/>
      <c r="J667" s="55">
        <f>INT((ROW()-2)/50)+1</f>
        <v/>
      </c>
      <c r="K667" s="55">
        <f>IF(H667="","Pending",IF(OR(H667="0",H667="1",H667="2",H667="U"),"Complete","Invalid"))</f>
        <v/>
      </c>
    </row>
    <row r="668" ht="84" customHeight="1">
      <c r="A668" s="43" t="inlineStr">
        <is>
          <t>v2q-012-candidate-08</t>
        </is>
      </c>
      <c r="B668" s="43" t="inlineStr">
        <is>
          <t>v2q-012</t>
        </is>
      </c>
      <c r="C668" s="43" t="inlineStr">
        <is>
          <t>What does PM SVANidhi stand for, and who is its intended beneficiary group?</t>
        </is>
      </c>
      <c r="D668" s="43" t="inlineStr">
        <is>
          <t>PM SVANidhi stands for PM Street Vendor’s AtmaNirbhar Nidhi and supports street vendors through working-capital and related incentives.</t>
        </is>
      </c>
      <c r="E668" s="43" t="inlineStr">
        <is>
          <t>pilot-v2-doc-pm-kisan-guidelines-0000-bbe94f08550e</t>
        </is>
      </c>
      <c r="F668" s="43" t="inlineStr">
        <is>
          <t>PM-KISAN Operational Guidelines</t>
        </is>
      </c>
      <c r="G668"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668" s="49" t="inlineStr">
        <is>
          <t>0</t>
        </is>
      </c>
      <c r="I668" s="49" t="str"/>
      <c r="J668" s="55">
        <f>INT((ROW()-2)/50)+1</f>
        <v/>
      </c>
      <c r="K668" s="55">
        <f>IF(H668="","Pending",IF(OR(H668="0",H668="1",H668="2",H668="U"),"Complete","Invalid"))</f>
        <v/>
      </c>
    </row>
    <row r="669" ht="84" customHeight="1">
      <c r="A669" s="43" t="inlineStr">
        <is>
          <t>v2q-026-candidate-18</t>
        </is>
      </c>
      <c r="B669" s="43" t="inlineStr">
        <is>
          <t>v2q-026</t>
        </is>
      </c>
      <c r="C669" s="43" t="inlineStr">
        <is>
          <t>What employment guarantee does MGNREGA provide, and which other programme from its ministry supplies pucca houses to rural households?</t>
        </is>
      </c>
      <c r="D669" s="43" t="inlineStr">
        <is>
          <t>MGNREGA guarantees at least 100 days of wage employment to qualifying rural households. PMAY-G, under the same Ministry of Rural Development, supports pucca houses with basic amenities for eligible rural households.</t>
        </is>
      </c>
      <c r="E669" s="43" t="inlineStr">
        <is>
          <t>pilot-v2-doc-mgnrega-0002-bbbce5f319d4</t>
        </is>
      </c>
      <c r="F669" s="43" t="inlineStr">
        <is>
          <t>Mahatma Gandhi National Rural Employment Guarantee Act</t>
        </is>
      </c>
      <c r="G669"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669" s="49" t="inlineStr">
        <is>
          <t>1</t>
        </is>
      </c>
      <c r="I669" s="49" t="str"/>
      <c r="J669" s="55">
        <f>INT((ROW()-2)/50)+1</f>
        <v/>
      </c>
      <c r="K669" s="55">
        <f>IF(H669="","Pending",IF(OR(H669="0",H669="1",H669="2",H669="U"),"Complete","Invalid"))</f>
        <v/>
      </c>
    </row>
    <row r="670" ht="84" customHeight="1">
      <c r="A670" s="43" t="inlineStr">
        <is>
          <t>v2q-016-candidate-02</t>
        </is>
      </c>
      <c r="B670" s="43" t="inlineStr">
        <is>
          <t>v2q-016</t>
        </is>
      </c>
      <c r="C670" s="43" t="inlineStr">
        <is>
          <t>How can an experienced worker obtain formal recognition for skills learned outside a training course?</t>
        </is>
      </c>
      <c r="D670" s="43" t="inlineStr">
        <is>
          <t>PMKVY 4.0 Recognition of Prior Learning assesses, upskills, and certifies candidates who already possess relevant skills or prior-learning experience.</t>
        </is>
      </c>
      <c r="E670" s="43" t="inlineStr">
        <is>
          <t>pilot-v2-doc-pmkvy-sp-0000-0fc5cf1d7fb0</t>
        </is>
      </c>
      <c r="F670" s="43" t="inlineStr">
        <is>
          <t>Pradhan Mantri Kaushal Vikas Yojana 4.0- Special Projects</t>
        </is>
      </c>
      <c r="G670" s="43" t="inlineStr">
        <is>
          <t>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is>
      </c>
      <c r="H670" s="49" t="inlineStr">
        <is>
          <t>1</t>
        </is>
      </c>
      <c r="I670" s="49" t="str"/>
      <c r="J670" s="55">
        <f>INT((ROW()-2)/50)+1</f>
        <v/>
      </c>
      <c r="K670" s="55">
        <f>IF(H670="","Pending",IF(OR(H670="0",H670="1",H670="2",H670="U"),"Complete","Invalid"))</f>
        <v/>
      </c>
    </row>
    <row r="671" ht="84" customHeight="1">
      <c r="A671" s="43" t="inlineStr">
        <is>
          <t>v2q-002-candidate-01</t>
        </is>
      </c>
      <c r="B671" s="43" t="inlineStr">
        <is>
          <t>v2q-002</t>
        </is>
      </c>
      <c r="C671" s="43" t="inlineStr">
        <is>
          <t>What maximum premium rates can farmers pay under PMFBY for Kharif, Rabi, and annual commercial or horticultural crops?</t>
        </is>
      </c>
      <c r="D671" s="43" t="inlineStr">
        <is>
          <t>Farmers pay at most 2% for Kharif food and oilseed crops, 1.5% for Rabi food and oilseed crops, and 5% for annual commercial or horticultural crops.</t>
        </is>
      </c>
      <c r="E671" s="43" t="inlineStr">
        <is>
          <t>pilot-v2-doc-pm-gkay-0001-ccd31e120258</t>
        </is>
      </c>
      <c r="F671" s="43" t="inlineStr">
        <is>
          <t>Pradhan Mantri Garib Kalyan Anna Yojana</t>
        </is>
      </c>
      <c r="G671"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671" s="49" t="inlineStr">
        <is>
          <t>0</t>
        </is>
      </c>
      <c r="I671" s="49" t="str"/>
      <c r="J671" s="55">
        <f>INT((ROW()-2)/50)+1</f>
        <v/>
      </c>
      <c r="K671" s="55">
        <f>IF(H671="","Pending",IF(OR(H671="0",H671="1",H671="2",H671="U"),"Complete","Invalid"))</f>
        <v/>
      </c>
    </row>
    <row r="672" ht="84" customHeight="1">
      <c r="A672" s="43" t="inlineStr">
        <is>
          <t>v2q-033-candidate-03</t>
        </is>
      </c>
      <c r="B672" s="43" t="inlineStr">
        <is>
          <t>v2q-033</t>
        </is>
      </c>
      <c r="C672" s="43" t="inlineStr">
        <is>
          <t>How do three programmes support micro-enterprises, new enterprise creation, and street-vendor livelihoods through different financial mechanisms?</t>
        </is>
      </c>
      <c r="D672" s="43" t="inlineStr">
        <is>
          <t>PMMY provides micro-credit to eligible micro-enterprises; PMEGP uses a credit-linked subsidy to establish new micro-enterprises; PM SVANidhi provides street vendors collateral-free working-capital loans, interest subsidy, and digital-payment incentives.</t>
        </is>
      </c>
      <c r="E672" s="43" t="inlineStr">
        <is>
          <t>pilot-v2-doc-pm-kmy-guidelines-0002-ae644e1f8c00</t>
        </is>
      </c>
      <c r="F672" s="43" t="inlineStr">
        <is>
          <t>Pradhan Mantri Kisan Maan Dhan Yojana Operational Guidelines</t>
        </is>
      </c>
      <c r="G672"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672" s="49" t="inlineStr">
        <is>
          <t>0</t>
        </is>
      </c>
      <c r="I672" s="49" t="str"/>
      <c r="J672" s="55">
        <f>INT((ROW()-2)/50)+1</f>
        <v/>
      </c>
      <c r="K672" s="55">
        <f>IF(H672="","Pending",IF(OR(H672="0",H672="1",H672="2",H672="U"),"Complete","Invalid"))</f>
        <v/>
      </c>
    </row>
    <row r="673" ht="84" customHeight="1">
      <c r="A673" s="43" t="inlineStr">
        <is>
          <t>v2q-028-candidate-16</t>
        </is>
      </c>
      <c r="B673" s="43" t="inlineStr">
        <is>
          <t>v2q-028</t>
        </is>
      </c>
      <c r="C673" s="43" t="inlineStr">
        <is>
          <t>What does PMKVY Recognition of Prior Learning certify, and which other pathway from its ministry serves candidates seeking fresh short-term skills training?</t>
        </is>
      </c>
      <c r="D673" s="43" t="inlineStr">
        <is>
          <t>PMKVY Recognition of Prior Learning certifies candidates’ existing skills. PMKVY Short-Term Training, under the same Ministry of Skill Development and Entrepreneurship, provides fresh skilling, reskilling, or upskilling.</t>
        </is>
      </c>
      <c r="E673" s="43" t="inlineStr">
        <is>
          <t>pilot-v2-doc-pm-kisan-guidelines-0000-bbe94f08550e</t>
        </is>
      </c>
      <c r="F673" s="43" t="inlineStr">
        <is>
          <t>PM-KISAN Operational Guidelines</t>
        </is>
      </c>
      <c r="G673"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673" s="49" t="inlineStr">
        <is>
          <t>0</t>
        </is>
      </c>
      <c r="I673" s="49" t="str"/>
      <c r="J673" s="55">
        <f>INT((ROW()-2)/50)+1</f>
        <v/>
      </c>
      <c r="K673" s="55">
        <f>IF(H673="","Pending",IF(OR(H673="0",H673="1",H673="2",H673="U"),"Complete","Invalid"))</f>
        <v/>
      </c>
    </row>
    <row r="674" ht="84" customHeight="1">
      <c r="A674" s="43" t="inlineStr">
        <is>
          <t>v2q-021-candidate-01</t>
        </is>
      </c>
      <c r="B674" s="43" t="inlineStr">
        <is>
          <t>v2q-021</t>
        </is>
      </c>
      <c r="C674" s="43" t="inlineStr">
        <is>
          <t>How do insurance companies and banks participate in PMFBY?</t>
        </is>
      </c>
      <c r="D674" s="43" t="inlineStr">
        <is>
          <t>PMFBY is implemented through a network of insurance companies and banks to provide crop-insurance protection to farmers.</t>
        </is>
      </c>
      <c r="E674" s="43" t="inlineStr">
        <is>
          <t>pilot-v2-doc-pmfby-0003-5aa41e0f864d</t>
        </is>
      </c>
      <c r="F674" s="43" t="inlineStr">
        <is>
          <t>Pradhan Mantri Fasal Bima Yojna (PMFBY)</t>
        </is>
      </c>
      <c r="G674" s="43" t="inlineStr">
        <is>
          <t>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is>
      </c>
      <c r="H674" s="49" t="inlineStr">
        <is>
          <t>1</t>
        </is>
      </c>
      <c r="I674" s="49" t="str"/>
      <c r="J674" s="55">
        <f>INT((ROW()-2)/50)+1</f>
        <v/>
      </c>
      <c r="K674" s="55">
        <f>IF(H674="","Pending",IF(OR(H674="0",H674="1",H674="2",H674="U"),"Complete","Invalid"))</f>
        <v/>
      </c>
    </row>
    <row r="675" ht="84" customHeight="1">
      <c r="A675" s="43" t="inlineStr">
        <is>
          <t>v2q-022-candidate-11</t>
        </is>
      </c>
      <c r="B675" s="43" t="inlineStr">
        <is>
          <t>v2q-022</t>
        </is>
      </c>
      <c r="C675" s="43" t="inlineStr">
        <is>
          <t>Which finance programme relies on Member Lending Institutions to extend assistance to non-corporate micro-enterprises?</t>
        </is>
      </c>
      <c r="D675" s="43" t="inlineStr">
        <is>
          <t>Eligible Member Lending Institutions extend PMMY financial assistance and provide the scheme’s micro-loans to qualifying micro and small enterprises.</t>
        </is>
      </c>
      <c r="E675" s="43" t="inlineStr">
        <is>
          <t>pilot-v2-doc-pmegp-0001-f900b4f4f97a</t>
        </is>
      </c>
      <c r="F675" s="43" t="inlineStr">
        <is>
          <t>Prime Minister's Employment Generation Programme</t>
        </is>
      </c>
      <c r="G675" s="43" t="inlineStr">
        <is>
          <t>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is>
      </c>
      <c r="H675" s="49" t="inlineStr">
        <is>
          <t>0</t>
        </is>
      </c>
      <c r="I675" s="49" t="str"/>
      <c r="J675" s="55">
        <f>INT((ROW()-2)/50)+1</f>
        <v/>
      </c>
      <c r="K675" s="55">
        <f>IF(H675="","Pending",IF(OR(H675="0",H675="1",H675="2",H675="U"),"Complete","Invalid"))</f>
        <v/>
      </c>
    </row>
    <row r="676" ht="84" customHeight="1">
      <c r="A676" s="43" t="inlineStr">
        <is>
          <t>v2q-013-candidate-16</t>
        </is>
      </c>
      <c r="B676" s="43" t="inlineStr">
        <is>
          <t>v2q-013</t>
        </is>
      </c>
      <c r="C676" s="43" t="inlineStr">
        <is>
          <t>Which initiative helps women in low-income countryside homes replace smoke-producing solid cooking materials with bottled gas?</t>
        </is>
      </c>
      <c r="D676" s="43" t="inlineStr">
        <is>
          <t>Pradhan Mantri Ujjwala Yojana provides LPG access to rural and deprived households that previously relied on traditional cooking fuels.</t>
        </is>
      </c>
      <c r="E676" s="43" t="inlineStr">
        <is>
          <t>pilot-v2-doc-ab-pmjay-0000-94c82a474579</t>
        </is>
      </c>
      <c r="F676" s="43" t="inlineStr">
        <is>
          <t>Ayushman Bharat - Pradhan Mantri Jan Arogya Yojana</t>
        </is>
      </c>
      <c r="G676"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676" s="49" t="inlineStr">
        <is>
          <t>0</t>
        </is>
      </c>
      <c r="I676" s="49" t="str"/>
      <c r="J676" s="55">
        <f>INT((ROW()-2)/50)+1</f>
        <v/>
      </c>
      <c r="K676" s="55">
        <f>IF(H676="","Pending",IF(OR(H676="0",H676="1",H676="2",H676="U"),"Complete","Invalid"))</f>
        <v/>
      </c>
    </row>
    <row r="677" ht="84" customHeight="1">
      <c r="A677" s="43" t="inlineStr">
        <is>
          <t>v2q-011-candidate-07</t>
        </is>
      </c>
      <c r="B677" s="43" t="inlineStr">
        <is>
          <t>v2q-011</t>
        </is>
      </c>
      <c r="C677" s="43" t="inlineStr">
        <is>
          <t>What does PM JANMAN stand for, and which communities does it target?</t>
        </is>
      </c>
      <c r="D677" s="43" t="inlineStr">
        <is>
          <t>PM JANMAN stands for PM Janjati Adivasi Nyaya Maha Abhiyan and targets Particularly Vulnerable Tribal Groups.</t>
        </is>
      </c>
      <c r="E677" s="43" t="inlineStr">
        <is>
          <t>pilot-v2-doc-pm-janman-0000-69ac65d10edc</t>
        </is>
      </c>
      <c r="F677" s="43" t="inlineStr">
        <is>
          <t>PM Janjati Adivasi Nyaya Maha Abhiyan (PM JANMAN)</t>
        </is>
      </c>
      <c r="G677" s="43" t="inlineStr">
        <is>
          <t>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is>
      </c>
      <c r="H677" s="49" t="inlineStr">
        <is>
          <t>2</t>
        </is>
      </c>
      <c r="I677" s="49" t="str"/>
      <c r="J677" s="55">
        <f>INT((ROW()-2)/50)+1</f>
        <v/>
      </c>
      <c r="K677" s="55">
        <f>IF(H677="","Pending",IF(OR(H677="0",H677="1",H677="2",H677="U"),"Complete","Invalid"))</f>
        <v/>
      </c>
    </row>
    <row r="678" ht="84" customHeight="1">
      <c r="A678" s="43" t="inlineStr">
        <is>
          <t>v2q-001-candidate-23</t>
        </is>
      </c>
      <c r="B678" s="43" t="inlineStr">
        <is>
          <t>v2q-001</t>
        </is>
      </c>
      <c r="C678" s="43" t="inlineStr">
        <is>
          <t>What is the minimum house size specified under PMAY-G?</t>
        </is>
      </c>
      <c r="D678" s="43" t="inlineStr">
        <is>
          <t>The minimum house size is 25 square metres, including a dedicated hygienic cooking area.</t>
        </is>
      </c>
      <c r="E678" s="43" t="inlineStr">
        <is>
          <t>pilot-v2-doc-ab-pmjay-0000-94c82a474579</t>
        </is>
      </c>
      <c r="F678" s="43" t="inlineStr">
        <is>
          <t>Ayushman Bharat - Pradhan Mantri Jan Arogya Yojana</t>
        </is>
      </c>
      <c r="G678"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678" s="49" t="inlineStr">
        <is>
          <t>0</t>
        </is>
      </c>
      <c r="I678" s="49" t="str"/>
      <c r="J678" s="55">
        <f>INT((ROW()-2)/50)+1</f>
        <v/>
      </c>
      <c r="K678" s="55">
        <f>IF(H678="","Pending",IF(OR(H678="0",H678="1",H678="2",H678="U"),"Complete","Invalid"))</f>
        <v/>
      </c>
    </row>
    <row r="679" ht="84" customHeight="1">
      <c r="A679" s="43" t="inlineStr">
        <is>
          <t>v2q-030-candidate-13</t>
        </is>
      </c>
      <c r="B679" s="43" t="inlineStr">
        <is>
          <t>v2q-030</t>
        </is>
      </c>
      <c r="C679" s="43" t="inlineStr">
        <is>
          <t>What retirement benefit does APY offer, and which life-insurance programme administered through the same department covers death from any cause?</t>
        </is>
      </c>
      <c r="D679" s="43" t="inlineStr">
        <is>
          <t>APY offers guaranteed monthly pension options after age 60. PMJJBY, associated with the same Department of Financial Services, provides life cover for death due to any reason.</t>
        </is>
      </c>
      <c r="E679" s="43" t="inlineStr">
        <is>
          <t>pilot-v2-doc-ab-pmjay-0001-a632a7205efc</t>
        </is>
      </c>
      <c r="F679" s="43" t="inlineStr">
        <is>
          <t>Ayushman Bharat - Pradhan Mantri Jan Arogya Yojana</t>
        </is>
      </c>
      <c r="G679"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679" s="49" t="inlineStr">
        <is>
          <t>0</t>
        </is>
      </c>
      <c r="I679" s="49" t="str"/>
      <c r="J679" s="55">
        <f>INT((ROW()-2)/50)+1</f>
        <v/>
      </c>
      <c r="K679" s="55">
        <f>IF(H679="","Pending",IF(OR(H679="0",H679="1",H679="2",H679="U"),"Complete","Invalid"))</f>
        <v/>
      </c>
    </row>
    <row r="680" ht="84" customHeight="1">
      <c r="A680" s="43" t="inlineStr">
        <is>
          <t>v2q-025-candidate-20</t>
        </is>
      </c>
      <c r="B680" s="43" t="inlineStr">
        <is>
          <t>v2q-025</t>
        </is>
      </c>
      <c r="C680" s="43" t="inlineStr">
        <is>
          <t>What banking function does PMJDY provide, and which other programme from its ministry finances income-generating micro-enterprises?</t>
        </is>
      </c>
      <c r="D680" s="43" t="inlineStr">
        <is>
          <t>PMJDY provides universal banking services for unbanked households. PMMY, under the same Ministry of Finance, provides micro-credit for income-generating micro-enterprises.</t>
        </is>
      </c>
      <c r="E680" s="43" t="inlineStr">
        <is>
          <t>pilot-v2-doc-ab-pmjay-0002-58c80bb24a6c</t>
        </is>
      </c>
      <c r="F680" s="43" t="inlineStr">
        <is>
          <t>Ayushman Bharat - Pradhan Mantri Jan Arogya Yojana</t>
        </is>
      </c>
      <c r="G680"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680" s="49" t="inlineStr">
        <is>
          <t>0</t>
        </is>
      </c>
      <c r="I680" s="49" t="str"/>
      <c r="J680" s="55">
        <f>INT((ROW()-2)/50)+1</f>
        <v/>
      </c>
      <c r="K680" s="55">
        <f>IF(H680="","Pending",IF(OR(H680="0",H680="1",H680="2",H680="U"),"Complete","Invalid"))</f>
        <v/>
      </c>
    </row>
    <row r="681" ht="84" customHeight="1">
      <c r="A681" s="43" t="inlineStr">
        <is>
          <t>v2q-012-candidate-01</t>
        </is>
      </c>
      <c r="B681" s="43" t="inlineStr">
        <is>
          <t>v2q-012</t>
        </is>
      </c>
      <c r="C681" s="43" t="inlineStr">
        <is>
          <t>What does PM SVANidhi stand for, and who is its intended beneficiary group?</t>
        </is>
      </c>
      <c r="D681" s="43" t="inlineStr">
        <is>
          <t>PM SVANidhi stands for PM Street Vendor’s AtmaNirbhar Nidhi and supports street vendors through working-capital and related incentives.</t>
        </is>
      </c>
      <c r="E681" s="43" t="inlineStr">
        <is>
          <t>pilot-v2-doc-pm-kmy-guidelines-0002-ae644e1f8c00</t>
        </is>
      </c>
      <c r="F681" s="43" t="inlineStr">
        <is>
          <t>Pradhan Mantri Kisan Maan Dhan Yojana Operational Guidelines</t>
        </is>
      </c>
      <c r="G681" s="43" t="inlineStr">
        <is>
          <t>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is>
      </c>
      <c r="H681" s="49" t="inlineStr">
        <is>
          <t>0</t>
        </is>
      </c>
      <c r="I681" s="49" t="str"/>
      <c r="J681" s="55">
        <f>INT((ROW()-2)/50)+1</f>
        <v/>
      </c>
      <c r="K681" s="55">
        <f>IF(H681="","Pending",IF(OR(H681="0",H681="1",H681="2",H681="U"),"Complete","Invalid"))</f>
        <v/>
      </c>
    </row>
    <row r="682" ht="84" customHeight="1">
      <c r="A682" s="43" t="inlineStr">
        <is>
          <t>v2q-005-candidate-02</t>
        </is>
      </c>
      <c r="B682" s="43" t="inlineStr">
        <is>
          <t>v2q-005</t>
        </is>
      </c>
      <c r="C682" s="43" t="inlineStr">
        <is>
          <t>How many days of wage employment does MGNREGA guarantee a rural household in a financial year?</t>
        </is>
      </c>
      <c r="D682" s="43" t="inlineStr">
        <is>
          <t>MGNREGA guarantees at least 100 days of wage employment per financial year to a rural household whose adult members volunteer for unskilled work.</t>
        </is>
      </c>
      <c r="E682" s="43" t="inlineStr">
        <is>
          <t>pilot-v2-doc-pmjdy-0000-8b241ec39723</t>
        </is>
      </c>
      <c r="F682" s="43" t="inlineStr">
        <is>
          <t>Pradhan Mantri Jan Dhan Yojana</t>
        </is>
      </c>
      <c r="G682"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682" s="49" t="inlineStr">
        <is>
          <t>0</t>
        </is>
      </c>
      <c r="I682" s="49" t="str"/>
      <c r="J682" s="55">
        <f>INT((ROW()-2)/50)+1</f>
        <v/>
      </c>
      <c r="K682" s="55">
        <f>IF(H682="","Pending",IF(OR(H682="0",H682="1",H682="2",H682="U"),"Complete","Invalid"))</f>
        <v/>
      </c>
    </row>
    <row r="683" ht="84" customHeight="1">
      <c r="A683" s="43" t="inlineStr">
        <is>
          <t>v2q-020-candidate-11</t>
        </is>
      </c>
      <c r="B683" s="43" t="inlineStr">
        <is>
          <t>v2q-020</t>
        </is>
      </c>
      <c r="C683" s="43" t="inlineStr">
        <is>
          <t>How do NSDC and SPIAs divide responsibility in the Special Projects arm of the national skill mission?</t>
        </is>
      </c>
      <c r="D683" s="43" t="inlineStr">
        <is>
          <t>NSDC supports the ministry’s implementation, while Special Projects Implementing Agencies deliver the projects on the ground.</t>
        </is>
      </c>
      <c r="E683" s="43" t="inlineStr">
        <is>
          <t>pilot-v2-doc-pmkvy-stt-0001-ea2787dec4e8</t>
        </is>
      </c>
      <c r="F683" s="43" t="inlineStr">
        <is>
          <t>Pradhan Mantri Kaushal Vikas Yojana 4.0 - Short-Term Training</t>
        </is>
      </c>
      <c r="G683" s="43" t="inlineStr">
        <is>
          <t>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is>
      </c>
      <c r="H683" s="49" t="inlineStr">
        <is>
          <t>1</t>
        </is>
      </c>
      <c r="I683" s="49" t="str"/>
      <c r="J683" s="55">
        <f>INT((ROW()-2)/50)+1</f>
        <v/>
      </c>
      <c r="K683" s="55">
        <f>IF(H683="","Pending",IF(OR(H683="0",H683="1",H683="2",H683="U"),"Complete","Invalid"))</f>
        <v/>
      </c>
    </row>
    <row r="684" ht="84" customHeight="1">
      <c r="A684" s="43" t="inlineStr">
        <is>
          <t>v2q-026-candidate-07</t>
        </is>
      </c>
      <c r="B684" s="43" t="inlineStr">
        <is>
          <t>v2q-026</t>
        </is>
      </c>
      <c r="C684" s="43" t="inlineStr">
        <is>
          <t>What employment guarantee does MGNREGA provide, and which other programme from its ministry supplies pucca houses to rural households?</t>
        </is>
      </c>
      <c r="D684" s="43" t="inlineStr">
        <is>
          <t>MGNREGA guarantees at least 100 days of wage employment to qualifying rural households. PMAY-G, under the same Ministry of Rural Development, supports pucca houses with basic amenities for eligible rural households.</t>
        </is>
      </c>
      <c r="E684" s="43" t="inlineStr">
        <is>
          <t>pilot-v2-doc-pmay-g-0002-e08c1e347071</t>
        </is>
      </c>
      <c r="F684" s="43" t="inlineStr">
        <is>
          <t>Pradhan Mantri Awaas Yojana - Gramin</t>
        </is>
      </c>
      <c r="G684" s="43" t="inlineStr">
        <is>
          <t>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is>
      </c>
      <c r="H684" s="49" t="inlineStr">
        <is>
          <t>1</t>
        </is>
      </c>
      <c r="I684" s="49" t="str"/>
      <c r="J684" s="55">
        <f>INT((ROW()-2)/50)+1</f>
        <v/>
      </c>
      <c r="K684" s="55">
        <f>IF(H684="","Pending",IF(OR(H684="0",H684="1",H684="2",H684="U"),"Complete","Invalid"))</f>
        <v/>
      </c>
    </row>
    <row r="685" ht="84" customHeight="1">
      <c r="A685" s="43" t="inlineStr">
        <is>
          <t>v2q-003-candidate-09</t>
        </is>
      </c>
      <c r="B685" s="43" t="inlineStr">
        <is>
          <t>v2q-003</t>
        </is>
      </c>
      <c r="C685" s="43" t="inlineStr">
        <is>
          <t>What revised overdraft limit and RuPay accidental-insurance cover are stated for PMJDY?</t>
        </is>
      </c>
      <c r="D685" s="43" t="inlineStr">
        <is>
          <t>PMJDY states a revised overdraft limit of ₹10,000 and accidental-insurance cover of ₹2 lakh for RuPay cardholders.</t>
        </is>
      </c>
      <c r="E685" s="43" t="inlineStr">
        <is>
          <t>pilot-v2-doc-pmfby-0000-d9ad07736d66</t>
        </is>
      </c>
      <c r="F685" s="43" t="inlineStr">
        <is>
          <t>Pradhan Mantri Fasal Bima Yojna (PMFBY)</t>
        </is>
      </c>
      <c r="G685" s="43" t="inlineStr">
        <is>
          <t>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is>
      </c>
      <c r="H685" s="49" t="inlineStr">
        <is>
          <t>0</t>
        </is>
      </c>
      <c r="I685" s="49" t="str"/>
      <c r="J685" s="55">
        <f>INT((ROW()-2)/50)+1</f>
        <v/>
      </c>
      <c r="K685" s="55">
        <f>IF(H685="","Pending",IF(OR(H685="0",H685="1",H685="2",H685="U"),"Complete","Invalid"))</f>
        <v/>
      </c>
    </row>
    <row r="686" ht="84" customHeight="1">
      <c r="A686" s="43" t="inlineStr">
        <is>
          <t>v2q-010-candidate-07</t>
        </is>
      </c>
      <c r="B686" s="43" t="inlineStr">
        <is>
          <t>v2q-010</t>
        </is>
      </c>
      <c r="C686" s="43" t="inlineStr">
        <is>
          <t>What is the full form of PM POSHAN, and what meal benefit does it provide?</t>
        </is>
      </c>
      <c r="D686" s="43" t="inlineStr">
        <is>
          <t>PM POSHAN means Prime Minister's Overarching Scheme for Holistic Nourishment and provides one hot cooked meal to children in government and government-aided schools.</t>
        </is>
      </c>
      <c r="E686" s="43" t="inlineStr">
        <is>
          <t>pilot-v2-doc-pm-kisan-guidelines-0001-5ad8f250b7e2</t>
        </is>
      </c>
      <c r="F686" s="43" t="inlineStr">
        <is>
          <t>PM-KISAN Operational Guidelines</t>
        </is>
      </c>
      <c r="G686"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686" s="49" t="inlineStr">
        <is>
          <t>0</t>
        </is>
      </c>
      <c r="I686" s="49" t="str"/>
      <c r="J686" s="55">
        <f>INT((ROW()-2)/50)+1</f>
        <v/>
      </c>
      <c r="K686" s="55">
        <f>IF(H686="","Pending",IF(OR(H686="0",H686="1",H686="2",H686="U"),"Complete","Invalid"))</f>
        <v/>
      </c>
    </row>
    <row r="687" ht="84" customHeight="1">
      <c r="A687" s="43" t="inlineStr">
        <is>
          <t>v2q-023-candidate-11</t>
        </is>
      </c>
      <c r="B687" s="43" t="inlineStr">
        <is>
          <t>v2q-023</t>
        </is>
      </c>
      <c r="C687" s="43" t="inlineStr">
        <is>
          <t>What role does a Gram Panchayat play when a household registers for MGNREGA?</t>
        </is>
      </c>
      <c r="D687" s="43" t="inlineStr">
        <is>
          <t>A household may apply through its local Gram Panchayat, which verifies residence, household identity, and adult membership details.</t>
        </is>
      </c>
      <c r="E687" s="43" t="inlineStr">
        <is>
          <t>pilot-v2-doc-pmkvy-rpl-0003-9425f5b8529a</t>
        </is>
      </c>
      <c r="F687" s="43" t="inlineStr">
        <is>
          <t>Pradhan Mantri Kaushal Vikas Yojana 4.0 - Recognition Of Prior Learning</t>
        </is>
      </c>
      <c r="G687" s="43" t="inlineStr">
        <is>
          <t>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is>
      </c>
      <c r="H687" s="49" t="inlineStr">
        <is>
          <t>0</t>
        </is>
      </c>
      <c r="I687" s="49" t="str"/>
      <c r="J687" s="55">
        <f>INT((ROW()-2)/50)+1</f>
        <v/>
      </c>
      <c r="K687" s="55">
        <f>IF(H687="","Pending",IF(OR(H687="0",H687="1",H687="2",H687="U"),"Complete","Invalid"))</f>
        <v/>
      </c>
    </row>
    <row r="688" ht="84" customHeight="1">
      <c r="A688" s="43" t="inlineStr">
        <is>
          <t>v2q-026-candidate-23</t>
        </is>
      </c>
      <c r="B688" s="43" t="inlineStr">
        <is>
          <t>v2q-026</t>
        </is>
      </c>
      <c r="C688" s="43" t="inlineStr">
        <is>
          <t>What employment guarantee does MGNREGA provide, and which other programme from its ministry supplies pucca houses to rural households?</t>
        </is>
      </c>
      <c r="D688" s="43" t="inlineStr">
        <is>
          <t>MGNREGA guarantees at least 100 days of wage employment to qualifying rural households. PMAY-G, under the same Ministry of Rural Development, supports pucca houses with basic amenities for eligible rural households.</t>
        </is>
      </c>
      <c r="E688" s="43" t="inlineStr">
        <is>
          <t>pilot-v2-doc-pmay-g-0003-2769023a3f73</t>
        </is>
      </c>
      <c r="F688" s="43" t="inlineStr">
        <is>
          <t>Pradhan Mantri Awaas Yojana - Gramin</t>
        </is>
      </c>
      <c r="G688"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688" s="49" t="inlineStr">
        <is>
          <t>1</t>
        </is>
      </c>
      <c r="I688" s="49" t="str"/>
      <c r="J688" s="55">
        <f>INT((ROW()-2)/50)+1</f>
        <v/>
      </c>
      <c r="K688" s="55">
        <f>IF(H688="","Pending",IF(OR(H688="0",H688="1",H688="2",H688="U"),"Complete","Invalid"))</f>
        <v/>
      </c>
    </row>
    <row r="689" ht="84" customHeight="1">
      <c r="A689" s="43" t="inlineStr">
        <is>
          <t>v2q-028-candidate-08</t>
        </is>
      </c>
      <c r="B689" s="43" t="inlineStr">
        <is>
          <t>v2q-028</t>
        </is>
      </c>
      <c r="C689" s="43" t="inlineStr">
        <is>
          <t>What does PMKVY Recognition of Prior Learning certify, and which other pathway from its ministry serves candidates seeking fresh short-term skills training?</t>
        </is>
      </c>
      <c r="D689" s="43" t="inlineStr">
        <is>
          <t>PMKVY Recognition of Prior Learning certifies candidates’ existing skills. PMKVY Short-Term Training, under the same Ministry of Skill Development and Entrepreneurship, provides fresh skilling, reskilling, or upskilling.</t>
        </is>
      </c>
      <c r="E689" s="43" t="inlineStr">
        <is>
          <t>pilot-v2-doc-pmkvy-sp-0003-738795a9ef96</t>
        </is>
      </c>
      <c r="F689" s="43" t="inlineStr">
        <is>
          <t>Pradhan Mantri Kaushal Vikas Yojana 4.0- Special Projects</t>
        </is>
      </c>
      <c r="G689"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689" s="49" t="inlineStr">
        <is>
          <t>2</t>
        </is>
      </c>
      <c r="I689" s="49" t="str"/>
      <c r="J689" s="55">
        <f>INT((ROW()-2)/50)+1</f>
        <v/>
      </c>
      <c r="K689" s="55">
        <f>IF(H689="","Pending",IF(OR(H689="0",H689="1",H689="2",H689="U"),"Complete","Invalid"))</f>
        <v/>
      </c>
    </row>
    <row r="690" ht="84" customHeight="1">
      <c r="A690" s="43" t="inlineStr">
        <is>
          <t>v2q-010-candidate-04</t>
        </is>
      </c>
      <c r="B690" s="43" t="inlineStr">
        <is>
          <t>v2q-010</t>
        </is>
      </c>
      <c r="C690" s="43" t="inlineStr">
        <is>
          <t>What is the full form of PM POSHAN, and what meal benefit does it provide?</t>
        </is>
      </c>
      <c r="D690" s="43" t="inlineStr">
        <is>
          <t>PM POSHAN means Prime Minister's Overarching Scheme for Holistic Nourishment and provides one hot cooked meal to children in government and government-aided schools.</t>
        </is>
      </c>
      <c r="E690" s="43" t="inlineStr">
        <is>
          <t>pilot-v2-doc-pm-kmy-guidelines-0003-30d7d7a0db81</t>
        </is>
      </c>
      <c r="F690" s="43" t="inlineStr">
        <is>
          <t>Pradhan Mantri Kisan Maan Dhan Yojana Operational Guidelines</t>
        </is>
      </c>
      <c r="G690" s="43" t="inlineStr">
        <is>
          <t>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is>
      </c>
      <c r="H690" s="49" t="inlineStr">
        <is>
          <t>0</t>
        </is>
      </c>
      <c r="I690" s="49" t="str"/>
      <c r="J690" s="55">
        <f>INT((ROW()-2)/50)+1</f>
        <v/>
      </c>
      <c r="K690" s="55">
        <f>IF(H690="","Pending",IF(OR(H690="0",H690="1",H690="2",H690="U"),"Complete","Invalid"))</f>
        <v/>
      </c>
    </row>
    <row r="691" ht="84" customHeight="1">
      <c r="A691" s="43" t="inlineStr">
        <is>
          <t>v2q-026-candidate-06</t>
        </is>
      </c>
      <c r="B691" s="43" t="inlineStr">
        <is>
          <t>v2q-026</t>
        </is>
      </c>
      <c r="C691" s="43" t="inlineStr">
        <is>
          <t>What employment guarantee does MGNREGA provide, and which other programme from its ministry supplies pucca houses to rural households?</t>
        </is>
      </c>
      <c r="D691" s="43" t="inlineStr">
        <is>
          <t>MGNREGA guarantees at least 100 days of wage employment to qualifying rural households. PMAY-G, under the same Ministry of Rural Development, supports pucca houses with basic amenities for eligible rural households.</t>
        </is>
      </c>
      <c r="E691" s="43" t="inlineStr">
        <is>
          <t>pilot-v2-doc-pmay-u-0001-b64fadc4bf6b</t>
        </is>
      </c>
      <c r="F691" s="43" t="inlineStr">
        <is>
          <t>Pradhan Mantri Awas Yojana - Urban</t>
        </is>
      </c>
      <c r="G691" s="43" t="inlineStr">
        <is>
          <t>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is>
      </c>
      <c r="H691" s="49" t="inlineStr">
        <is>
          <t>0</t>
        </is>
      </c>
      <c r="I691" s="49" t="str"/>
      <c r="J691" s="55">
        <f>INT((ROW()-2)/50)+1</f>
        <v/>
      </c>
      <c r="K691" s="55">
        <f>IF(H691="","Pending",IF(OR(H691="0",H691="1",H691="2",H691="U"),"Complete","Invalid"))</f>
        <v/>
      </c>
    </row>
    <row r="692" ht="84" customHeight="1">
      <c r="A692" s="43" t="inlineStr">
        <is>
          <t>v2q-002-candidate-19</t>
        </is>
      </c>
      <c r="B692" s="43" t="inlineStr">
        <is>
          <t>v2q-002</t>
        </is>
      </c>
      <c r="C692" s="43" t="inlineStr">
        <is>
          <t>What maximum premium rates can farmers pay under PMFBY for Kharif, Rabi, and annual commercial or horticultural crops?</t>
        </is>
      </c>
      <c r="D692" s="43" t="inlineStr">
        <is>
          <t>Farmers pay at most 2% for Kharif food and oilseed crops, 1.5% for Rabi food and oilseed crops, and 5% for annual commercial or horticultural crops.</t>
        </is>
      </c>
      <c r="E692" s="43" t="inlineStr">
        <is>
          <t>pilot-v2-doc-pm-kisan-guidelines-0000-bbe94f08550e</t>
        </is>
      </c>
      <c r="F692" s="43" t="inlineStr">
        <is>
          <t>PM-KISAN Operational Guidelines</t>
        </is>
      </c>
      <c r="G692"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692" s="49" t="inlineStr">
        <is>
          <t>0</t>
        </is>
      </c>
      <c r="I692" s="49" t="str"/>
      <c r="J692" s="55">
        <f>INT((ROW()-2)/50)+1</f>
        <v/>
      </c>
      <c r="K692" s="55">
        <f>IF(H692="","Pending",IF(OR(H692="0",H692="1",H692="2",H692="U"),"Complete","Invalid"))</f>
        <v/>
      </c>
    </row>
    <row r="693" ht="84" customHeight="1">
      <c r="A693" s="43" t="inlineStr">
        <is>
          <t>v2q-009-candidate-21</t>
        </is>
      </c>
      <c r="B693" s="43" t="inlineStr">
        <is>
          <t>v2q-009</t>
        </is>
      </c>
      <c r="C693" s="43" t="inlineStr">
        <is>
          <t>What does APY stand for, and what monthly pension range does it guarantee after age 60?</t>
        </is>
      </c>
      <c r="D693" s="43" t="inlineStr">
        <is>
          <t>APY stands for Atal Pension Yojana and offers guaranteed monthly pension options from ₹1,000 to ₹5,000 after age 60.</t>
        </is>
      </c>
      <c r="E693" s="43" t="inlineStr">
        <is>
          <t>pilot-v2-doc-mgnrega-0002-bbbce5f319d4</t>
        </is>
      </c>
      <c r="F693" s="43" t="inlineStr">
        <is>
          <t>Mahatma Gandhi National Rural Employment Guarantee Act</t>
        </is>
      </c>
      <c r="G693"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693" s="49" t="inlineStr">
        <is>
          <t>0</t>
        </is>
      </c>
      <c r="I693" s="49" t="str"/>
      <c r="J693" s="55">
        <f>INT((ROW()-2)/50)+1</f>
        <v/>
      </c>
      <c r="K693" s="55">
        <f>IF(H693="","Pending",IF(OR(H693="0",H693="1",H693="2",H693="U"),"Complete","Invalid"))</f>
        <v/>
      </c>
    </row>
    <row r="694" ht="84" customHeight="1">
      <c r="A694" s="43" t="inlineStr">
        <is>
          <t>v2q-022-candidate-05</t>
        </is>
      </c>
      <c r="B694" s="43" t="inlineStr">
        <is>
          <t>v2q-022</t>
        </is>
      </c>
      <c r="C694" s="43" t="inlineStr">
        <is>
          <t>Which finance programme relies on Member Lending Institutions to extend assistance to non-corporate micro-enterprises?</t>
        </is>
      </c>
      <c r="D694" s="43" t="inlineStr">
        <is>
          <t>Eligible Member Lending Institutions extend PMMY financial assistance and provide the scheme’s micro-loans to qualifying micro and small enterprises.</t>
        </is>
      </c>
      <c r="E694" s="43" t="inlineStr">
        <is>
          <t>pilot-v2-doc-pmmy-0000-70a89ee32765</t>
        </is>
      </c>
      <c r="F694" s="43" t="inlineStr">
        <is>
          <t>Pradhan Mantri Mudra Yojana</t>
        </is>
      </c>
      <c r="G694"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694" s="49" t="inlineStr">
        <is>
          <t>2</t>
        </is>
      </c>
      <c r="I694" s="49" t="str"/>
      <c r="J694" s="55">
        <f>INT((ROW()-2)/50)+1</f>
        <v/>
      </c>
      <c r="K694" s="55">
        <f>IF(H694="","Pending",IF(OR(H694="0",H694="1",H694="2",H694="U"),"Complete","Invalid"))</f>
        <v/>
      </c>
    </row>
    <row r="695" ht="84" customHeight="1">
      <c r="A695" s="43" t="inlineStr">
        <is>
          <t>v2q-011-candidate-09</t>
        </is>
      </c>
      <c r="B695" s="43" t="inlineStr">
        <is>
          <t>v2q-011</t>
        </is>
      </c>
      <c r="C695" s="43" t="inlineStr">
        <is>
          <t>What does PM JANMAN stand for, and which communities does it target?</t>
        </is>
      </c>
      <c r="D695" s="43" t="inlineStr">
        <is>
          <t>PM JANMAN stands for PM Janjati Adivasi Nyaya Maha Abhiyan and targets Particularly Vulnerable Tribal Groups.</t>
        </is>
      </c>
      <c r="E695" s="43" t="inlineStr">
        <is>
          <t>pilot-v2-doc-pm-kisan-guidelines-0001-5ad8f250b7e2</t>
        </is>
      </c>
      <c r="F695" s="43" t="inlineStr">
        <is>
          <t>PM-KISAN Operational Guidelines</t>
        </is>
      </c>
      <c r="G695" s="43" t="inlineStr">
        <is>
          <t>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is>
      </c>
      <c r="H695" s="49" t="inlineStr">
        <is>
          <t>0</t>
        </is>
      </c>
      <c r="I695" s="49" t="str"/>
      <c r="J695" s="55">
        <f>INT((ROW()-2)/50)+1</f>
        <v/>
      </c>
      <c r="K695" s="55">
        <f>IF(H695="","Pending",IF(OR(H695="0",H695="1",H695="2",H695="U"),"Complete","Invalid"))</f>
        <v/>
      </c>
    </row>
    <row r="696" ht="84" customHeight="1">
      <c r="A696" s="43" t="inlineStr">
        <is>
          <t>v2q-033-candidate-11</t>
        </is>
      </c>
      <c r="B696" s="43" t="inlineStr">
        <is>
          <t>v2q-033</t>
        </is>
      </c>
      <c r="C696" s="43" t="inlineStr">
        <is>
          <t>How do three programmes support micro-enterprises, new enterprise creation, and street-vendor livelihoods through different financial mechanisms?</t>
        </is>
      </c>
      <c r="D696" s="43" t="inlineStr">
        <is>
          <t>PMMY provides micro-credit to eligible micro-enterprises; PMEGP uses a credit-linked subsidy to establish new micro-enterprises; PM SVANidhi provides street vendors collateral-free working-capital loans, interest subsidy, and digital-payment incentives.</t>
        </is>
      </c>
      <c r="E696" s="43" t="inlineStr">
        <is>
          <t>pilot-v2-doc-ab-pmjay-0002-58c80bb24a6c</t>
        </is>
      </c>
      <c r="F696" s="43" t="inlineStr">
        <is>
          <t>Ayushman Bharat - Pradhan Mantri Jan Arogya Yojana</t>
        </is>
      </c>
      <c r="G696"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696" s="49" t="inlineStr">
        <is>
          <t>0</t>
        </is>
      </c>
      <c r="I696" s="49" t="str"/>
      <c r="J696" s="55">
        <f>INT((ROW()-2)/50)+1</f>
        <v/>
      </c>
      <c r="K696" s="55">
        <f>IF(H696="","Pending",IF(OR(H696="0",H696="1",H696="2",H696="U"),"Complete","Invalid"))</f>
        <v/>
      </c>
    </row>
    <row r="697" ht="84" customHeight="1">
      <c r="A697" s="43" t="inlineStr">
        <is>
          <t>v2q-018-candidate-15</t>
        </is>
      </c>
      <c r="B697" s="43" t="inlineStr">
        <is>
          <t>v2q-018</t>
        </is>
      </c>
      <c r="C697" s="43" t="inlineStr">
        <is>
          <t>Which initiative helps city households across officially defined lower and middle income bands obtain permanent homes?</t>
        </is>
      </c>
      <c r="D697" s="43" t="inlineStr">
        <is>
          <t>Pradhan Mantri Awas Yojana–Urban addresses urban housing shortages and supports eligible EWS, LIG, and MIG households, including slum dwellers.</t>
        </is>
      </c>
      <c r="E697" s="43" t="inlineStr">
        <is>
          <t>pilot-v2-doc-apy-0002-66a5cc4017fb</t>
        </is>
      </c>
      <c r="F697" s="43" t="inlineStr">
        <is>
          <t>Atal Pension Yojana</t>
        </is>
      </c>
      <c r="G697" s="43" t="inlineStr">
        <is>
          <t>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is>
      </c>
      <c r="H697" s="49" t="inlineStr">
        <is>
          <t>0</t>
        </is>
      </c>
      <c r="I697" s="49" t="str"/>
      <c r="J697" s="55">
        <f>INT((ROW()-2)/50)+1</f>
        <v/>
      </c>
      <c r="K697" s="55">
        <f>IF(H697="","Pending",IF(OR(H697="0",H697="1",H697="2",H697="U"),"Complete","Invalid"))</f>
        <v/>
      </c>
    </row>
    <row r="698" ht="84" customHeight="1">
      <c r="A698" s="43" t="inlineStr">
        <is>
          <t>v2q-010-candidate-02</t>
        </is>
      </c>
      <c r="B698" s="43" t="inlineStr">
        <is>
          <t>v2q-010</t>
        </is>
      </c>
      <c r="C698" s="43" t="inlineStr">
        <is>
          <t>What is the full form of PM POSHAN, and what meal benefit does it provide?</t>
        </is>
      </c>
      <c r="D698" s="43" t="inlineStr">
        <is>
          <t>PM POSHAN means Prime Minister's Overarching Scheme for Holistic Nourishment and provides one hot cooked meal to children in government and government-aided schools.</t>
        </is>
      </c>
      <c r="E698" s="43" t="inlineStr">
        <is>
          <t>pilot-v2-doc-pm-kmy-guidelines-0005-1b88dfec836a</t>
        </is>
      </c>
      <c r="F698" s="43" t="inlineStr">
        <is>
          <t>Pradhan Mantri Kisan Maan Dhan Yojana Operational Guidelines</t>
        </is>
      </c>
      <c r="G698" s="43" t="inlineStr">
        <is>
          <t>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 which their
       PM-Kisan benefits are credited, so that their contributions are automatically paid;
 (vi) The eligible SMFs who are not beneficiaries of PM-Kisan or who have not given
       consent  to  allow payment from  the  benefit  of PM-Kisan  shall  submit an
       enrolment-cum-auto-debit mandate form for giving their consent to auto-debit a
       bank account which is normally used by them for bank transactions;
 (vii) The Central Government through the Department of Agriculture Cooperation and
       Farmers Welfare shall also contribute an equal amount as contributed by the
         eligible subscriber, to the pension Fund. Account of such co-contributions shall be
       maintained separately by the LIC and these co-contributions along with fund
        earnings from time to time shall be utilized for pension payment on the date of
        vesting. Co-contributions would not be paid to subscribers in case of pre-mature
         exits. In such a case, the co-contributions along with fund earnings  will be
        transferred back to Pension Fund.
 (viii) The State  / UT Governments  will have the option of sharing the burden of
         individual SMF beneficiary’s contribution.
 (ix) The monthly contributions will fall due on the 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t>
        </is>
      </c>
      <c r="H698" s="49" t="inlineStr">
        <is>
          <t>0</t>
        </is>
      </c>
      <c r="I698" s="49" t="str"/>
      <c r="J698" s="55">
        <f>INT((ROW()-2)/50)+1</f>
        <v/>
      </c>
      <c r="K698" s="55">
        <f>IF(H698="","Pending",IF(OR(H698="0",H698="1",H698="2",H698="U"),"Complete","Invalid"))</f>
        <v/>
      </c>
    </row>
    <row r="699" ht="84" customHeight="1">
      <c r="A699" s="43" t="inlineStr">
        <is>
          <t>v2q-020-candidate-07</t>
        </is>
      </c>
      <c r="B699" s="43" t="inlineStr">
        <is>
          <t>v2q-020</t>
        </is>
      </c>
      <c r="C699" s="43" t="inlineStr">
        <is>
          <t>How do NSDC and SPIAs divide responsibility in the Special Projects arm of the national skill mission?</t>
        </is>
      </c>
      <c r="D699" s="43" t="inlineStr">
        <is>
          <t>NSDC supports the ministry’s implementation, while Special Projects Implementing Agencies deliver the projects on the ground.</t>
        </is>
      </c>
      <c r="E699" s="43" t="inlineStr">
        <is>
          <t>pilot-v2-doc-pmkvy-sp-0003-738795a9ef96</t>
        </is>
      </c>
      <c r="F699" s="43" t="inlineStr">
        <is>
          <t>Pradhan Mantri Kaushal Vikas Yojana 4.0- Special Projects</t>
        </is>
      </c>
      <c r="G699" s="43" t="inlineStr">
        <is>
          <t>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is>
      </c>
      <c r="H699" s="49" t="inlineStr">
        <is>
          <t>1</t>
        </is>
      </c>
      <c r="I699" s="49" t="str"/>
      <c r="J699" s="55">
        <f>INT((ROW()-2)/50)+1</f>
        <v/>
      </c>
      <c r="K699" s="55">
        <f>IF(H699="","Pending",IF(OR(H699="0",H699="1",H699="2",H699="U"),"Complete","Invalid"))</f>
        <v/>
      </c>
    </row>
    <row r="700" ht="84" customHeight="1">
      <c r="A700" s="43" t="inlineStr">
        <is>
          <t>v2q-021-candidate-13</t>
        </is>
      </c>
      <c r="B700" s="43" t="inlineStr">
        <is>
          <t>v2q-021</t>
        </is>
      </c>
      <c r="C700" s="43" t="inlineStr">
        <is>
          <t>How do insurance companies and banks participate in PMFBY?</t>
        </is>
      </c>
      <c r="D700" s="43" t="inlineStr">
        <is>
          <t>PMFBY is implemented through a network of insurance companies and banks to provide crop-insurance protection to farmers.</t>
        </is>
      </c>
      <c r="E700" s="43" t="inlineStr">
        <is>
          <t>pilot-v2-doc-pmfby-0001-4270154049cc</t>
        </is>
      </c>
      <c r="F700" s="43" t="inlineStr">
        <is>
          <t>Pradhan Mantri Fasal Bima Yojna (PMFBY)</t>
        </is>
      </c>
      <c r="G700"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700" s="49" t="inlineStr">
        <is>
          <t>1</t>
        </is>
      </c>
      <c r="I700" s="49" t="str"/>
      <c r="J700" s="55">
        <f>INT((ROW()-2)/50)+1</f>
        <v/>
      </c>
      <c r="K700" s="55">
        <f>IF(H700="","Pending",IF(OR(H700="0",H700="1",H700="2",H700="U"),"Complete","Invalid"))</f>
        <v/>
      </c>
    </row>
    <row r="701" ht="84" customHeight="1">
      <c r="A701" s="43" t="inlineStr">
        <is>
          <t>v2q-025-candidate-06</t>
        </is>
      </c>
      <c r="B701" s="43" t="inlineStr">
        <is>
          <t>v2q-025</t>
        </is>
      </c>
      <c r="C701" s="43" t="inlineStr">
        <is>
          <t>What banking function does PMJDY provide, and which other programme from its ministry finances income-generating micro-enterprises?</t>
        </is>
      </c>
      <c r="D701" s="43" t="inlineStr">
        <is>
          <t>PMJDY provides universal banking services for unbanked households. PMMY, under the same Ministry of Finance, provides micro-credit for income-generating micro-enterprises.</t>
        </is>
      </c>
      <c r="E701" s="43" t="inlineStr">
        <is>
          <t>pilot-v2-doc-pmegp-0001-f900b4f4f97a</t>
        </is>
      </c>
      <c r="F701" s="43" t="inlineStr">
        <is>
          <t>Prime Minister's Employment Generation Programme</t>
        </is>
      </c>
      <c r="G701" s="43" t="inlineStr">
        <is>
          <t>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is>
      </c>
      <c r="H701" s="49" t="inlineStr">
        <is>
          <t>0</t>
        </is>
      </c>
      <c r="I701" s="49" t="str"/>
      <c r="J701" s="55">
        <f>INT((ROW()-2)/50)+1</f>
        <v/>
      </c>
      <c r="K701" s="55">
        <f>IF(H701="","Pending",IF(OR(H701="0",H701="1",H701="2",H701="U"),"Complete","Invalid"))</f>
        <v/>
      </c>
    </row>
    <row r="702" ht="84" customHeight="1">
      <c r="A702" s="43" t="inlineStr">
        <is>
          <t>v2q-013-candidate-11</t>
        </is>
      </c>
      <c r="B702" s="43" t="inlineStr">
        <is>
          <t>v2q-013</t>
        </is>
      </c>
      <c r="C702" s="43" t="inlineStr">
        <is>
          <t>Which initiative helps women in low-income countryside homes replace smoke-producing solid cooking materials with bottled gas?</t>
        </is>
      </c>
      <c r="D702" s="43" t="inlineStr">
        <is>
          <t>Pradhan Mantri Ujjwala Yojana provides LPG access to rural and deprived households that previously relied on traditional cooking fuels.</t>
        </is>
      </c>
      <c r="E702" s="43" t="inlineStr">
        <is>
          <t>pilot-v2-doc-pm-janman-0002-d0844e3327b6</t>
        </is>
      </c>
      <c r="F702" s="43" t="inlineStr">
        <is>
          <t>PM Janjati Adivasi Nyaya Maha Abhiyan (PM JANMAN)</t>
        </is>
      </c>
      <c r="G702"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702" s="49" t="inlineStr">
        <is>
          <t>0</t>
        </is>
      </c>
      <c r="I702" s="49" t="str"/>
      <c r="J702" s="55">
        <f>INT((ROW()-2)/50)+1</f>
        <v/>
      </c>
      <c r="K702" s="55">
        <f>IF(H702="","Pending",IF(OR(H702="0",H702="1",H702="2",H702="U"),"Complete","Invalid"))</f>
        <v/>
      </c>
    </row>
    <row r="703" ht="84" customHeight="1">
      <c r="A703" s="43" t="inlineStr">
        <is>
          <t>v2q-006-candidate-16</t>
        </is>
      </c>
      <c r="B703" s="43" t="inlineStr">
        <is>
          <t>v2q-006</t>
        </is>
      </c>
      <c r="C703" s="43" t="inlineStr">
        <is>
          <t>What annual hospitalisation cover does AB-PMJAY provide per eligible family?</t>
        </is>
      </c>
      <c r="D703" s="43" t="inlineStr">
        <is>
          <t>AB-PMJAY provides cashless hospitalisation cover of ₹5 lakh per family per year for secondary and tertiary healthcare.</t>
        </is>
      </c>
      <c r="E703" s="43" t="inlineStr">
        <is>
          <t>pilot-v2-doc-mgnrega-0001-5203a455caa6</t>
        </is>
      </c>
      <c r="F703" s="43" t="inlineStr">
        <is>
          <t>Mahatma Gandhi National Rural Employment Guarantee Act</t>
        </is>
      </c>
      <c r="G703" s="43" t="inlineStr">
        <is>
          <t>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is>
      </c>
      <c r="H703" s="49" t="inlineStr">
        <is>
          <t>0</t>
        </is>
      </c>
      <c r="I703" s="49" t="str"/>
      <c r="J703" s="55">
        <f>INT((ROW()-2)/50)+1</f>
        <v/>
      </c>
      <c r="K703" s="55">
        <f>IF(H703="","Pending",IF(OR(H703="0",H703="1",H703="2",H703="U"),"Complete","Invalid"))</f>
        <v/>
      </c>
    </row>
    <row r="704" ht="84" customHeight="1">
      <c r="A704" s="43" t="inlineStr">
        <is>
          <t>v2q-031-candidate-16</t>
        </is>
      </c>
      <c r="B704" s="43" t="inlineStr">
        <is>
          <t>v2q-031</t>
        </is>
      </c>
      <c r="C704" s="43" t="inlineStr">
        <is>
          <t>How do three finance-sector programmes combine basic banking, life insurance, and accident insurance?</t>
        </is>
      </c>
      <c r="D704" s="43" t="inlineStr">
        <is>
          <t>PMJDY provides universal banking and access to financial services; PMJJBY supplies life cover for death from any cause; PMSBY supplies accidental-death and disability cover.</t>
        </is>
      </c>
      <c r="E704" s="43" t="inlineStr">
        <is>
          <t>pilot-v2-doc-pm-kmy-guidelines-0018-67494b680dda</t>
        </is>
      </c>
      <c r="F704" s="43" t="inlineStr">
        <is>
          <t>Pradhan Mantri Kisan Maan Dhan Yojana Operational Guidelines</t>
        </is>
      </c>
      <c r="G704" s="43" t="inlineStr">
        <is>
          <t>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 benefits under the Scheme shall be payable only in India.
Should anything contained in these guidelines, or in any amendment made thereof be
repugnant to any provisions of the Income Tax Act, 1961 or the Income Tax Rules, 1962,
it shall be ineffective to the extent of such repugnance, any such repugnance in so far as
it relates to Income Tax Act 1961 and the Rules there under shall be removed by the
DAC&amp;FW.
                                              12
16.  DEDUCTION OF SUMS DUE TO INCOME TAX AUTHORITIES:
Income Tax: In any case where the DAC&amp;FW or the Corporation is liable to account to
the Income Tax Authorities for Income Tax on any payments due under the Scheme, the
Corporation shall deduct a sum equal to the tax from such payment and shall not be
liable to the subscribers for the sum so deducted.
17.  NOMINATION:
(a)    Every  Subscriber  shall  appoint  spouse  or  dependants  as  Beneficiary  or
Beneficiaries under the Scheme to receive the benefits hereunder in the event of the
death of the subscriber.
(b)   Every appointment / nomination to be made under 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t>
        </is>
      </c>
      <c r="H704" s="49" t="inlineStr">
        <is>
          <t>0</t>
        </is>
      </c>
      <c r="I704" s="49" t="str"/>
      <c r="J704" s="55">
        <f>INT((ROW()-2)/50)+1</f>
        <v/>
      </c>
      <c r="K704" s="55">
        <f>IF(H704="","Pending",IF(OR(H704="0",H704="1",H704="2",H704="U"),"Complete","Invalid"))</f>
        <v/>
      </c>
    </row>
    <row r="705" ht="84" customHeight="1">
      <c r="A705" s="43" t="inlineStr">
        <is>
          <t>v2q-027-candidate-11</t>
        </is>
      </c>
      <c r="B705" s="43" t="inlineStr">
        <is>
          <t>v2q-027</t>
        </is>
      </c>
      <c r="C705" s="43" t="inlineStr">
        <is>
          <t>What livelihood mechanism does PM SVANidhi offer street vendors, and which other programme from its ministry addresses housing shortages for eligible urban households?</t>
        </is>
      </c>
      <c r="D705" s="43" t="inlineStr">
        <is>
          <t>PM SVANidhi offers street vendors collateral-free working-capital loans, interest subsidy, and digital-payment incentives. PMAY-U, under the same Ministry of Housing and Urban Affairs, provides housing support for eligible urban households.</t>
        </is>
      </c>
      <c r="E705" s="43" t="inlineStr">
        <is>
          <t>pilot-v2-doc-pmay-g-0003-2769023a3f73</t>
        </is>
      </c>
      <c r="F705" s="43" t="inlineStr">
        <is>
          <t>Pradhan Mantri Awaas Yojana - Gramin</t>
        </is>
      </c>
      <c r="G705" s="43" t="inlineStr">
        <is>
          <t>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is>
      </c>
      <c r="H705" s="49" t="inlineStr">
        <is>
          <t>0</t>
        </is>
      </c>
      <c r="I705" s="49" t="str"/>
      <c r="J705" s="55">
        <f>INT((ROW()-2)/50)+1</f>
        <v/>
      </c>
      <c r="K705" s="55">
        <f>IF(H705="","Pending",IF(OR(H705="0",H705="1",H705="2",H705="U"),"Complete","Invalid"))</f>
        <v/>
      </c>
    </row>
    <row r="706" ht="84" customHeight="1">
      <c r="A706" s="43" t="inlineStr">
        <is>
          <t>v2q-005-candidate-24</t>
        </is>
      </c>
      <c r="B706" s="43" t="inlineStr">
        <is>
          <t>v2q-005</t>
        </is>
      </c>
      <c r="C706" s="43" t="inlineStr">
        <is>
          <t>How many days of wage employment does MGNREGA guarantee a rural household in a financial year?</t>
        </is>
      </c>
      <c r="D706" s="43" t="inlineStr">
        <is>
          <t>MGNREGA guarantees at least 100 days of wage employment per financial year to a rural household whose adult members volunteer for unskilled work.</t>
        </is>
      </c>
      <c r="E706" s="43" t="inlineStr">
        <is>
          <t>pilot-v2-doc-apy-0000-c43dd88d7899</t>
        </is>
      </c>
      <c r="F706" s="43" t="inlineStr">
        <is>
          <t>Atal Pension Yojana</t>
        </is>
      </c>
      <c r="G706"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706" s="49" t="inlineStr">
        <is>
          <t>0</t>
        </is>
      </c>
      <c r="I706" s="49" t="str"/>
      <c r="J706" s="55">
        <f>INT((ROW()-2)/50)+1</f>
        <v/>
      </c>
      <c r="K706" s="55">
        <f>IF(H706="","Pending",IF(OR(H706="0",H706="1",H706="2",H706="U"),"Complete","Invalid"))</f>
        <v/>
      </c>
    </row>
    <row r="707" ht="84" customHeight="1">
      <c r="A707" s="43" t="inlineStr">
        <is>
          <t>v2q-003-candidate-14</t>
        </is>
      </c>
      <c r="B707" s="43" t="inlineStr">
        <is>
          <t>v2q-003</t>
        </is>
      </c>
      <c r="C707" s="43" t="inlineStr">
        <is>
          <t>What revised overdraft limit and RuPay accidental-insurance cover are stated for PMJDY?</t>
        </is>
      </c>
      <c r="D707" s="43" t="inlineStr">
        <is>
          <t>PMJDY states a revised overdraft limit of ₹10,000 and accidental-insurance cover of ₹2 lakh for RuPay cardholders.</t>
        </is>
      </c>
      <c r="E707" s="43" t="inlineStr">
        <is>
          <t>pilot-v2-doc-pmjjby-0000-47f7bb620cd4</t>
        </is>
      </c>
      <c r="F707" s="43" t="inlineStr">
        <is>
          <t>Pradhan Mantri Jeevan Jyoti Bima Yojana</t>
        </is>
      </c>
      <c r="G707"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707" s="49" t="inlineStr">
        <is>
          <t>0</t>
        </is>
      </c>
      <c r="I707" s="49" t="str"/>
      <c r="J707" s="55">
        <f>INT((ROW()-2)/50)+1</f>
        <v/>
      </c>
      <c r="K707" s="55">
        <f>IF(H707="","Pending",IF(OR(H707="0",H707="1",H707="2",H707="U"),"Complete","Invalid"))</f>
        <v/>
      </c>
    </row>
    <row r="708" ht="84" customHeight="1">
      <c r="A708" s="43" t="inlineStr">
        <is>
          <t>v2q-031-candidate-13</t>
        </is>
      </c>
      <c r="B708" s="43" t="inlineStr">
        <is>
          <t>v2q-031</t>
        </is>
      </c>
      <c r="C708" s="43" t="inlineStr">
        <is>
          <t>How do three finance-sector programmes combine basic banking, life insurance, and accident insurance?</t>
        </is>
      </c>
      <c r="D708" s="43" t="inlineStr">
        <is>
          <t>PMJDY provides universal banking and access to financial services; PMJJBY supplies life cover for death from any cause; PMSBY supplies accidental-death and disability cover.</t>
        </is>
      </c>
      <c r="E708" s="43" t="inlineStr">
        <is>
          <t>pilot-v2-doc-pmjdy-0000-8b241ec39723</t>
        </is>
      </c>
      <c r="F708" s="43" t="inlineStr">
        <is>
          <t>Pradhan Mantri Jan Dhan Yojana</t>
        </is>
      </c>
      <c r="G708"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708" s="49" t="inlineStr">
        <is>
          <t>2</t>
        </is>
      </c>
      <c r="I708" s="49" t="str"/>
      <c r="J708" s="55">
        <f>INT((ROW()-2)/50)+1</f>
        <v/>
      </c>
      <c r="K708" s="55">
        <f>IF(H708="","Pending",IF(OR(H708="0",H708="1",H708="2",H708="U"),"Complete","Invalid"))</f>
        <v/>
      </c>
    </row>
    <row r="709" ht="84" customHeight="1">
      <c r="A709" s="43" t="inlineStr">
        <is>
          <t>v2q-005-candidate-03</t>
        </is>
      </c>
      <c r="B709" s="43" t="inlineStr">
        <is>
          <t>v2q-005</t>
        </is>
      </c>
      <c r="C709" s="43" t="inlineStr">
        <is>
          <t>How many days of wage employment does MGNREGA guarantee a rural household in a financial year?</t>
        </is>
      </c>
      <c r="D709" s="43" t="inlineStr">
        <is>
          <t>MGNREGA guarantees at least 100 days of wage employment per financial year to a rural household whose adult members volunteer for unskilled work.</t>
        </is>
      </c>
      <c r="E709" s="43" t="inlineStr">
        <is>
          <t>pilot-v2-doc-pm-kisan-guidelines-0014-ba6fddd38f9c</t>
        </is>
      </c>
      <c r="F709" s="43" t="inlineStr">
        <is>
          <t>PM-KISAN Operational Guidelines</t>
        </is>
      </c>
      <c r="G709" s="43" t="inlineStr">
        <is>
          <t>financial benefits to the eligible farmers,
Aadhaar number shall be collected for all beneficiaries, since payment of all installments
pertaining to the trimester December, 2019 – March, 2020 onwards shall be done only
on the basis of Aadhaar seeded data base. However, exemption has been to the States
of Assam, Meghalaya and Jammu &amp; Kashmir from the requirement of Aadhaar number
and Aadhaar seeded database under the scheme till 31.3.2021. In the meantime these
States will complete Aadhaar enrolment so that subsequent installments are released
on the basis of Aadhaar seeded data only. States / UTs shall ensure that there is no
duplication of the payment transferred to eligible families.
10.3  The funds pertaining to income support benefit as well as administrative charges
shall be released from Government  of India  to the States’ designated account  /
mechanism.   The  benefit  shall be  transferred by Government  of  India  to  the
beneficiaries through a mechanism wherein district wise beneficiaries’  lists shall be
                                         10
certified and uploaded by the States  / UTs and the funds  will be  electronically
transferred via State Notional Account [similar to Mahatma Gandhi National Rural
Employment Guarantee Scheme (MNREGS)] to the beneficiaries’ bank accounts on the
basis of their account numbers and IFSC codes. However, where the states verify that
Aadhaar linked accounts are not the loan accounts of beneficiaries, the Aadhaar linked
payment system can be adopted. However, from the December, 2019 – March, 2020
trimester onwards the States shall have to ensure Aadhaar linked bank accounts of the
beneficiaries, except in case of Assam, Meghalaya and Jammu &amp; Kashmir, which have
been given exemption  till the 31st March, 2021. For ease of implementation the States
may consider assigning the job of sponsoring bank for the scheme to the same bank
being used by concerned State for MGNREGS.
10.4</t>
        </is>
      </c>
      <c r="H709" s="49" t="inlineStr">
        <is>
          <t>0</t>
        </is>
      </c>
      <c r="I709" s="49" t="str"/>
      <c r="J709" s="55">
        <f>INT((ROW()-2)/50)+1</f>
        <v/>
      </c>
      <c r="K709" s="55">
        <f>IF(H709="","Pending",IF(OR(H709="0",H709="1",H709="2",H709="U"),"Complete","Invalid"))</f>
        <v/>
      </c>
    </row>
    <row r="710" ht="84" customHeight="1">
      <c r="A710" s="43" t="inlineStr">
        <is>
          <t>v2q-030-candidate-06</t>
        </is>
      </c>
      <c r="B710" s="43" t="inlineStr">
        <is>
          <t>v2q-030</t>
        </is>
      </c>
      <c r="C710" s="43" t="inlineStr">
        <is>
          <t>What retirement benefit does APY offer, and which life-insurance programme administered through the same department covers death from any cause?</t>
        </is>
      </c>
      <c r="D710" s="43" t="inlineStr">
        <is>
          <t>APY offers guaranteed monthly pension options after age 60. PMJJBY, associated with the same Department of Financial Services, provides life cover for death due to any reason.</t>
        </is>
      </c>
      <c r="E710" s="43" t="inlineStr">
        <is>
          <t>pilot-v2-doc-apy-0000-c43dd88d7899</t>
        </is>
      </c>
      <c r="F710" s="43" t="inlineStr">
        <is>
          <t>Atal Pension Yojana</t>
        </is>
      </c>
      <c r="G710"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710" s="49" t="inlineStr">
        <is>
          <t>2</t>
        </is>
      </c>
      <c r="I710" s="49" t="str"/>
      <c r="J710" s="55">
        <f>INT((ROW()-2)/50)+1</f>
        <v/>
      </c>
      <c r="K710" s="55">
        <f>IF(H710="","Pending",IF(OR(H710="0",H710="1",H710="2",H710="U"),"Complete","Invalid"))</f>
        <v/>
      </c>
    </row>
    <row r="711" ht="84" customHeight="1">
      <c r="A711" s="43" t="inlineStr">
        <is>
          <t>v2q-015-candidate-04</t>
        </is>
      </c>
      <c r="B711" s="43" t="inlineStr">
        <is>
          <t>v2q-015</t>
        </is>
      </c>
      <c r="C711" s="43" t="inlineStr">
        <is>
          <t>Which initiative helps job-seekers and established craftspeople launch small businesses outside agriculture?</t>
        </is>
      </c>
      <c r="D711" s="43" t="inlineStr">
        <is>
          <t>The Prime Minister's Employment Generation Programme supports new micro-enterprises to create self-employment for traditional artisans, unemployed youth, and other eligible beneficiaries.</t>
        </is>
      </c>
      <c r="E711" s="43" t="inlineStr">
        <is>
          <t>pilot-v2-doc-pmfby-0002-5c46025b568d</t>
        </is>
      </c>
      <c r="F711" s="43" t="inlineStr">
        <is>
          <t>Pradhan Mantri Fasal Bima Yojna (PMFBY)</t>
        </is>
      </c>
      <c r="G711" s="43" t="inlineStr">
        <is>
          <t>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is>
      </c>
      <c r="H711" s="49" t="inlineStr">
        <is>
          <t>0</t>
        </is>
      </c>
      <c r="I711" s="49" t="str"/>
      <c r="J711" s="55">
        <f>INT((ROW()-2)/50)+1</f>
        <v/>
      </c>
      <c r="K711" s="55">
        <f>IF(H711="","Pending",IF(OR(H711="0",H711="1",H711="2",H711="U"),"Complete","Invalid"))</f>
        <v/>
      </c>
    </row>
    <row r="712" ht="84" customHeight="1">
      <c r="A712" s="43" t="inlineStr">
        <is>
          <t>v2q-026-candidate-03</t>
        </is>
      </c>
      <c r="B712" s="43" t="inlineStr">
        <is>
          <t>v2q-026</t>
        </is>
      </c>
      <c r="C712" s="43" t="inlineStr">
        <is>
          <t>What employment guarantee does MGNREGA provide, and which other programme from its ministry supplies pucca houses to rural households?</t>
        </is>
      </c>
      <c r="D712" s="43" t="inlineStr">
        <is>
          <t>MGNREGA guarantees at least 100 days of wage employment to qualifying rural households. PMAY-G, under the same Ministry of Rural Development, supports pucca houses with basic amenities for eligible rural households.</t>
        </is>
      </c>
      <c r="E712" s="43" t="inlineStr">
        <is>
          <t>pilot-v2-doc-pmay-g-0005-c6e2fcfefcd0</t>
        </is>
      </c>
      <c r="F712" s="43" t="inlineStr">
        <is>
          <t>Pradhan Mantri Awaas Yojana - Gramin</t>
        </is>
      </c>
      <c r="G712" s="43" t="inlineStr">
        <is>
          <t>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is>
      </c>
      <c r="H712" s="49" t="inlineStr">
        <is>
          <t>2</t>
        </is>
      </c>
      <c r="I712" s="49" t="str"/>
      <c r="J712" s="55">
        <f>INT((ROW()-2)/50)+1</f>
        <v/>
      </c>
      <c r="K712" s="55">
        <f>IF(H712="","Pending",IF(OR(H712="0",H712="1",H712="2",H712="U"),"Complete","Invalid"))</f>
        <v/>
      </c>
    </row>
    <row r="713" ht="84" customHeight="1">
      <c r="A713" s="43" t="inlineStr">
        <is>
          <t>v2q-002-candidate-24</t>
        </is>
      </c>
      <c r="B713" s="43" t="inlineStr">
        <is>
          <t>v2q-002</t>
        </is>
      </c>
      <c r="C713" s="43" t="inlineStr">
        <is>
          <t>What maximum premium rates can farmers pay under PMFBY for Kharif, Rabi, and annual commercial or horticultural crops?</t>
        </is>
      </c>
      <c r="D713" s="43" t="inlineStr">
        <is>
          <t>Farmers pay at most 2% for Kharif food and oilseed crops, 1.5% for Rabi food and oilseed crops, and 5% for annual commercial or horticultural crops.</t>
        </is>
      </c>
      <c r="E713" s="43" t="inlineStr">
        <is>
          <t>pilot-v2-doc-ab-pmjay-0001-a632a7205efc</t>
        </is>
      </c>
      <c r="F713" s="43" t="inlineStr">
        <is>
          <t>Ayushman Bharat - Pradhan Mantri Jan Arogya Yojana</t>
        </is>
      </c>
      <c r="G713"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713" s="49" t="inlineStr">
        <is>
          <t>0</t>
        </is>
      </c>
      <c r="I713" s="49" t="str"/>
      <c r="J713" s="55">
        <f>INT((ROW()-2)/50)+1</f>
        <v/>
      </c>
      <c r="K713" s="55">
        <f>IF(H713="","Pending",IF(OR(H713="0",H713="1",H713="2",H713="U"),"Complete","Invalid"))</f>
        <v/>
      </c>
    </row>
    <row r="714" ht="84" customHeight="1">
      <c r="A714" s="43" t="inlineStr">
        <is>
          <t>v2q-002-candidate-21</t>
        </is>
      </c>
      <c r="B714" s="43" t="inlineStr">
        <is>
          <t>v2q-002</t>
        </is>
      </c>
      <c r="C714" s="43" t="inlineStr">
        <is>
          <t>What maximum premium rates can farmers pay under PMFBY for Kharif, Rabi, and annual commercial or horticultural crops?</t>
        </is>
      </c>
      <c r="D714" s="43" t="inlineStr">
        <is>
          <t>Farmers pay at most 2% for Kharif food and oilseed crops, 1.5% for Rabi food and oilseed crops, and 5% for annual commercial or horticultural crops.</t>
        </is>
      </c>
      <c r="E714" s="43" t="inlineStr">
        <is>
          <t>pilot-v2-doc-pm-kisan-guidelines-0005-7d487843ff7f</t>
        </is>
      </c>
      <c r="F714" s="43" t="inlineStr">
        <is>
          <t>PM-KISAN Operational Guidelines</t>
        </is>
      </c>
      <c r="G714" s="43" t="inlineStr">
        <is>
          <t>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is>
      </c>
      <c r="H714" s="49" t="inlineStr">
        <is>
          <t>0</t>
        </is>
      </c>
      <c r="I714" s="49" t="str"/>
      <c r="J714" s="55">
        <f>INT((ROW()-2)/50)+1</f>
        <v/>
      </c>
      <c r="K714" s="55">
        <f>IF(H714="","Pending",IF(OR(H714="0",H714="1",H714="2",H714="U"),"Complete","Invalid"))</f>
        <v/>
      </c>
    </row>
    <row r="715" ht="84" customHeight="1">
      <c r="A715" s="43" t="inlineStr">
        <is>
          <t>v2q-002-candidate-14</t>
        </is>
      </c>
      <c r="B715" s="43" t="inlineStr">
        <is>
          <t>v2q-002</t>
        </is>
      </c>
      <c r="C715" s="43" t="inlineStr">
        <is>
          <t>What maximum premium rates can farmers pay under PMFBY for Kharif, Rabi, and annual commercial or horticultural crops?</t>
        </is>
      </c>
      <c r="D715" s="43" t="inlineStr">
        <is>
          <t>Farmers pay at most 2% for Kharif food and oilseed crops, 1.5% for Rabi food and oilseed crops, and 5% for annual commercial or horticultural crops.</t>
        </is>
      </c>
      <c r="E715" s="43" t="inlineStr">
        <is>
          <t>pilot-v2-doc-pmsby-0000-0f297846df39</t>
        </is>
      </c>
      <c r="F715" s="43" t="inlineStr">
        <is>
          <t>Pradhan Mantri Suraksha Bima Yojana</t>
        </is>
      </c>
      <c r="G715"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715" s="49" t="inlineStr">
        <is>
          <t>0</t>
        </is>
      </c>
      <c r="I715" s="49" t="str"/>
      <c r="J715" s="55">
        <f>INT((ROW()-2)/50)+1</f>
        <v/>
      </c>
      <c r="K715" s="55">
        <f>IF(H715="","Pending",IF(OR(H715="0",H715="1",H715="2",H715="U"),"Complete","Invalid"))</f>
        <v/>
      </c>
    </row>
    <row r="716" ht="84" customHeight="1">
      <c r="A716" s="43" t="inlineStr">
        <is>
          <t>v2q-025-candidate-02</t>
        </is>
      </c>
      <c r="B716" s="43" t="inlineStr">
        <is>
          <t>v2q-025</t>
        </is>
      </c>
      <c r="C716" s="43" t="inlineStr">
        <is>
          <t>What banking function does PMJDY provide, and which other programme from its ministry finances income-generating micro-enterprises?</t>
        </is>
      </c>
      <c r="D716" s="43" t="inlineStr">
        <is>
          <t>PMJDY provides universal banking services for unbanked households. PMMY, under the same Ministry of Finance, provides micro-credit for income-generating micro-enterprises.</t>
        </is>
      </c>
      <c r="E716" s="43" t="inlineStr">
        <is>
          <t>pilot-v2-doc-pmmy-0001-6035d0d102e8</t>
        </is>
      </c>
      <c r="F716" s="43" t="inlineStr">
        <is>
          <t>Pradhan Mantri Mudra Yojana</t>
        </is>
      </c>
      <c r="G716" s="43" t="inlineStr">
        <is>
          <t>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is>
      </c>
      <c r="H716" s="49" t="inlineStr">
        <is>
          <t>2</t>
        </is>
      </c>
      <c r="I716" s="49" t="str"/>
      <c r="J716" s="55">
        <f>INT((ROW()-2)/50)+1</f>
        <v/>
      </c>
      <c r="K716" s="55">
        <f>IF(H716="","Pending",IF(OR(H716="0",H716="1",H716="2",H716="U"),"Complete","Invalid"))</f>
        <v/>
      </c>
    </row>
    <row r="717" ht="84" customHeight="1">
      <c r="A717" s="43" t="inlineStr">
        <is>
          <t>v2q-029-candidate-09</t>
        </is>
      </c>
      <c r="B717" s="43" t="inlineStr">
        <is>
          <t>v2q-029</t>
        </is>
      </c>
      <c r="C717" s="43" t="inlineStr">
        <is>
          <t>What migrant-focused facility distinguishes Ujjwala 2.0, and what clean-cooking transition was established by its predecessor programme?</t>
        </is>
      </c>
      <c r="D717" s="43" t="inlineStr">
        <is>
          <t>Ujjwala 2.0 added 1.6 crore LPG connections with a special facility for migrant households. Its predecessor, Pradhan Mantri Ujjwala Yojana, sought to replace traditional cooking fuels with LPG access for rural and deprived households.</t>
        </is>
      </c>
      <c r="E717" s="43" t="inlineStr">
        <is>
          <t>pilot-v2-doc-pmjdy-0000-8b241ec39723</t>
        </is>
      </c>
      <c r="F717" s="43" t="inlineStr">
        <is>
          <t>Pradhan Mantri Jan Dhan Yojana</t>
        </is>
      </c>
      <c r="G717" s="43" t="inlineStr">
        <is>
          <t>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is>
      </c>
      <c r="H717" s="49" t="inlineStr">
        <is>
          <t>0</t>
        </is>
      </c>
      <c r="I717" s="49" t="str"/>
      <c r="J717" s="55">
        <f>INT((ROW()-2)/50)+1</f>
        <v/>
      </c>
      <c r="K717" s="55">
        <f>IF(H717="","Pending",IF(OR(H717="0",H717="1",H717="2",H717="U"),"Complete","Invalid"))</f>
        <v/>
      </c>
    </row>
    <row r="718" ht="84" customHeight="1">
      <c r="A718" s="43" t="inlineStr">
        <is>
          <t>v2q-014-candidate-05</t>
        </is>
      </c>
      <c r="B718" s="43" t="inlineStr">
        <is>
          <t>v2q-014</t>
        </is>
      </c>
      <c r="C718" s="43" t="inlineStr">
        <is>
          <t>Under the national ration programme, what monthly cereal allocation goes to families in the poorest entitlement tier and to each person in the priority tier?</t>
        </is>
      </c>
      <c r="D718" s="43" t="inlineStr">
        <is>
          <t>AAY families receive 35 kilograms per family per month, while PHH beneficiaries receive 5 kilograms per person per month.</t>
        </is>
      </c>
      <c r="E718" s="43" t="inlineStr">
        <is>
          <t>pilot-v2-doc-pm-gkay-0001-ccd31e120258</t>
        </is>
      </c>
      <c r="F718" s="43" t="inlineStr">
        <is>
          <t>Pradhan Mantri Garib Kalyan Anna Yojana</t>
        </is>
      </c>
      <c r="G718" s="43" t="inlineStr">
        <is>
          <t>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is>
      </c>
      <c r="H718" s="49" t="inlineStr">
        <is>
          <t>2</t>
        </is>
      </c>
      <c r="I718" s="49" t="str"/>
      <c r="J718" s="55">
        <f>INT((ROW()-2)/50)+1</f>
        <v/>
      </c>
      <c r="K718" s="55">
        <f>IF(H718="","Pending",IF(OR(H718="0",H718="1",H718="2",H718="U"),"Complete","Invalid"))</f>
        <v/>
      </c>
    </row>
    <row r="719" ht="84" customHeight="1">
      <c r="A719" s="43" t="inlineStr">
        <is>
          <t>v2q-003-candidate-18</t>
        </is>
      </c>
      <c r="B719" s="43" t="inlineStr">
        <is>
          <t>v2q-003</t>
        </is>
      </c>
      <c r="C719" s="43" t="inlineStr">
        <is>
          <t>What revised overdraft limit and RuPay accidental-insurance cover are stated for PMJDY?</t>
        </is>
      </c>
      <c r="D719" s="43" t="inlineStr">
        <is>
          <t>PMJDY states a revised overdraft limit of ₹10,000 and accidental-insurance cover of ₹2 lakh for RuPay cardholders.</t>
        </is>
      </c>
      <c r="E719" s="43" t="inlineStr">
        <is>
          <t>pilot-v2-doc-pm-kmy-guidelines-0021-7ce201d9d183</t>
        </is>
      </c>
      <c r="F719" s="43" t="inlineStr">
        <is>
          <t>Pradhan Mantri Kisan Maan Dhan Yojana Operational Guidelines</t>
        </is>
      </c>
      <c r="G719"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719" s="49" t="inlineStr">
        <is>
          <t>0</t>
        </is>
      </c>
      <c r="I719" s="49" t="str"/>
      <c r="J719" s="55">
        <f>INT((ROW()-2)/50)+1</f>
        <v/>
      </c>
      <c r="K719" s="55">
        <f>IF(H719="","Pending",IF(OR(H719="0",H719="1",H719="2",H719="U"),"Complete","Invalid"))</f>
        <v/>
      </c>
    </row>
    <row r="720" ht="84" customHeight="1">
      <c r="A720" s="43" t="inlineStr">
        <is>
          <t>v2q-011-candidate-10</t>
        </is>
      </c>
      <c r="B720" s="43" t="inlineStr">
        <is>
          <t>v2q-011</t>
        </is>
      </c>
      <c r="C720" s="43" t="inlineStr">
        <is>
          <t>What does PM JANMAN stand for, and which communities does it target?</t>
        </is>
      </c>
      <c r="D720" s="43" t="inlineStr">
        <is>
          <t>PM JANMAN stands for PM Janjati Adivasi Nyaya Maha Abhiyan and targets Particularly Vulnerable Tribal Groups.</t>
        </is>
      </c>
      <c r="E720" s="43" t="inlineStr">
        <is>
          <t>pilot-v2-doc-pm-janman-0002-d0844e3327b6</t>
        </is>
      </c>
      <c r="F720" s="43" t="inlineStr">
        <is>
          <t>PM Janjati Adivasi Nyaya Maha Abhiyan (PM JANMAN)</t>
        </is>
      </c>
      <c r="G720" s="43" t="inlineStr">
        <is>
          <t>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is>
      </c>
      <c r="H720" s="49" t="inlineStr">
        <is>
          <t>2</t>
        </is>
      </c>
      <c r="I720" s="49" t="str"/>
      <c r="J720" s="55">
        <f>INT((ROW()-2)/50)+1</f>
        <v/>
      </c>
      <c r="K720" s="55">
        <f>IF(H720="","Pending",IF(OR(H720="0",H720="1",H720="2",H720="U"),"Complete","Invalid"))</f>
        <v/>
      </c>
    </row>
    <row r="721" ht="84" customHeight="1">
      <c r="A721" s="43" t="inlineStr">
        <is>
          <t>v2q-022-candidate-20</t>
        </is>
      </c>
      <c r="B721" s="43" t="inlineStr">
        <is>
          <t>v2q-022</t>
        </is>
      </c>
      <c r="C721" s="43" t="inlineStr">
        <is>
          <t>Which finance programme relies on Member Lending Institutions to extend assistance to non-corporate micro-enterprises?</t>
        </is>
      </c>
      <c r="D721" s="43" t="inlineStr">
        <is>
          <t>Eligible Member Lending Institutions extend PMMY financial assistance and provide the scheme’s micro-loans to qualifying micro and small enterprises.</t>
        </is>
      </c>
      <c r="E721" s="43" t="inlineStr">
        <is>
          <t>pilot-v2-doc-pm-kmy-guidelines-0021-7ce201d9d183</t>
        </is>
      </c>
      <c r="F721" s="43" t="inlineStr">
        <is>
          <t>Pradhan Mantri Kisan Maan Dhan Yojana Operational Guidelines</t>
        </is>
      </c>
      <c r="G721"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721" s="49" t="inlineStr">
        <is>
          <t>0</t>
        </is>
      </c>
      <c r="I721" s="49" t="str"/>
      <c r="J721" s="55">
        <f>INT((ROW()-2)/50)+1</f>
        <v/>
      </c>
      <c r="K721" s="55">
        <f>IF(H721="","Pending",IF(OR(H721="0",H721="1",H721="2",H721="U"),"Complete","Invalid"))</f>
        <v/>
      </c>
    </row>
    <row r="722" ht="84" customHeight="1">
      <c r="A722" s="43" t="inlineStr">
        <is>
          <t>v2q-019-candidate-16</t>
        </is>
      </c>
      <c r="B722" s="43" t="inlineStr">
        <is>
          <t>v2q-019</t>
        </is>
      </c>
      <c r="C722" s="43" t="inlineStr">
        <is>
          <t>What role does the Ministry of Petroleum and Natural Gas have in Ujjwala 2.0?</t>
        </is>
      </c>
      <c r="D722" s="43" t="inlineStr">
        <is>
          <t>The ministry introduced Ujjwala 2.0 to provide LPG connections and promote clean cooking fuel among poor, rural, and deprived households.</t>
        </is>
      </c>
      <c r="E722" s="43" t="inlineStr">
        <is>
          <t>pilot-v2-doc-mgnrega-0002-bbbce5f319d4</t>
        </is>
      </c>
      <c r="F722" s="43" t="inlineStr">
        <is>
          <t>Mahatma Gandhi National Rural Employment Guarantee Act</t>
        </is>
      </c>
      <c r="G722" s="43" t="inlineStr">
        <is>
          <t>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is>
      </c>
      <c r="H722" s="49" t="inlineStr">
        <is>
          <t>0</t>
        </is>
      </c>
      <c r="I722" s="49" t="str"/>
      <c r="J722" s="55">
        <f>INT((ROW()-2)/50)+1</f>
        <v/>
      </c>
      <c r="K722" s="55">
        <f>IF(H722="","Pending",IF(OR(H722="0",H722="1",H722="2",H722="U"),"Complete","Invalid"))</f>
        <v/>
      </c>
    </row>
    <row r="723" ht="84" customHeight="1">
      <c r="A723" s="43" t="inlineStr">
        <is>
          <t>v2q-021-candidate-16</t>
        </is>
      </c>
      <c r="B723" s="43" t="inlineStr">
        <is>
          <t>v2q-021</t>
        </is>
      </c>
      <c r="C723" s="43" t="inlineStr">
        <is>
          <t>How do insurance companies and banks participate in PMFBY?</t>
        </is>
      </c>
      <c r="D723" s="43" t="inlineStr">
        <is>
          <t>PMFBY is implemented through a network of insurance companies and banks to provide crop-insurance protection to farmers.</t>
        </is>
      </c>
      <c r="E723" s="43" t="inlineStr">
        <is>
          <t>pilot-v2-doc-ab-pmjay-0003-1242266bb260</t>
        </is>
      </c>
      <c r="F723" s="43" t="inlineStr">
        <is>
          <t>Ayushman Bharat - Pradhan Mantri Jan Arogya Yojana</t>
        </is>
      </c>
      <c r="G723" s="43" t="inlineStr">
        <is>
          <t>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is>
      </c>
      <c r="H723" s="49" t="inlineStr">
        <is>
          <t>0</t>
        </is>
      </c>
      <c r="I723" s="49" t="str"/>
      <c r="J723" s="55">
        <f>INT((ROW()-2)/50)+1</f>
        <v/>
      </c>
      <c r="K723" s="55">
        <f>IF(H723="","Pending",IF(OR(H723="0",H723="1",H723="2",H723="U"),"Complete","Invalid"))</f>
        <v/>
      </c>
    </row>
    <row r="724" ht="84" customHeight="1">
      <c r="A724" s="43" t="inlineStr">
        <is>
          <t>v2q-033-candidate-08</t>
        </is>
      </c>
      <c r="B724" s="43" t="inlineStr">
        <is>
          <t>v2q-033</t>
        </is>
      </c>
      <c r="C724" s="43" t="inlineStr">
        <is>
          <t>How do three programmes support micro-enterprises, new enterprise creation, and street-vendor livelihoods through different financial mechanisms?</t>
        </is>
      </c>
      <c r="D724" s="43" t="inlineStr">
        <is>
          <t>PMMY provides micro-credit to eligible micro-enterprises; PMEGP uses a credit-linked subsidy to establish new micro-enterprises; PM SVANidhi provides street vendors collateral-free working-capital loans, interest subsidy, and digital-payment incentives.</t>
        </is>
      </c>
      <c r="E724" s="43" t="inlineStr">
        <is>
          <t>pilot-v2-doc-pmmy-0001-6035d0d102e8</t>
        </is>
      </c>
      <c r="F724" s="43" t="inlineStr">
        <is>
          <t>Pradhan Mantri Mudra Yojana</t>
        </is>
      </c>
      <c r="G724" s="43" t="inlineStr">
        <is>
          <t>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is>
      </c>
      <c r="H724" s="49" t="inlineStr">
        <is>
          <t>2</t>
        </is>
      </c>
      <c r="I724" s="49" t="str"/>
      <c r="J724" s="55">
        <f>INT((ROW()-2)/50)+1</f>
        <v/>
      </c>
      <c r="K724" s="55">
        <f>IF(H724="","Pending",IF(OR(H724="0",H724="1",H724="2",H724="U"),"Complete","Invalid"))</f>
        <v/>
      </c>
    </row>
    <row r="725" ht="84" customHeight="1">
      <c r="A725" s="43" t="inlineStr">
        <is>
          <t>v2q-002-candidate-08</t>
        </is>
      </c>
      <c r="B725" s="43" t="inlineStr">
        <is>
          <t>v2q-002</t>
        </is>
      </c>
      <c r="C725" s="43" t="inlineStr">
        <is>
          <t>What maximum premium rates can farmers pay under PMFBY for Kharif, Rabi, and annual commercial or horticultural crops?</t>
        </is>
      </c>
      <c r="D725" s="43" t="inlineStr">
        <is>
          <t>Farmers pay at most 2% for Kharif food and oilseed crops, 1.5% for Rabi food and oilseed crops, and 5% for annual commercial or horticultural crops.</t>
        </is>
      </c>
      <c r="E725" s="43" t="inlineStr">
        <is>
          <t>pilot-v2-doc-pmfby-0003-5aa41e0f864d</t>
        </is>
      </c>
      <c r="F725" s="43" t="inlineStr">
        <is>
          <t>Pradhan Mantri Fasal Bima Yojna (PMFBY)</t>
        </is>
      </c>
      <c r="G725" s="43" t="inlineStr">
        <is>
          <t>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is>
      </c>
      <c r="H725" s="49" t="inlineStr">
        <is>
          <t>1</t>
        </is>
      </c>
      <c r="I725" s="49" t="str"/>
      <c r="J725" s="55">
        <f>INT((ROW()-2)/50)+1</f>
        <v/>
      </c>
      <c r="K725" s="55">
        <f>IF(H725="","Pending",IF(OR(H725="0",H725="1",H725="2",H725="U"),"Complete","Invalid"))</f>
        <v/>
      </c>
    </row>
    <row r="726" ht="84" customHeight="1">
      <c r="A726" s="43" t="inlineStr">
        <is>
          <t>v2q-007-candidate-02</t>
        </is>
      </c>
      <c r="B726" s="43" t="inlineStr">
        <is>
          <t>v2q-007</t>
        </is>
      </c>
      <c r="C726" s="43" t="inlineStr">
        <is>
          <t>What is the full form of PMJJBY, and which event does its life insurance cover?</t>
        </is>
      </c>
      <c r="D726" s="43" t="inlineStr">
        <is>
          <t>PMJJBY stands for Pradhan Mantri Jeevan Jyoti Bima Yojana and provides life-insurance cover for death due to any reason.</t>
        </is>
      </c>
      <c r="E726" s="43" t="inlineStr">
        <is>
          <t>pilot-v2-doc-pmfby-0003-5aa41e0f864d</t>
        </is>
      </c>
      <c r="F726" s="43" t="inlineStr">
        <is>
          <t>Pradhan Mantri Fasal Bima Yojna (PMFBY)</t>
        </is>
      </c>
      <c r="G726" s="43" t="inlineStr">
        <is>
          <t>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is>
      </c>
      <c r="H726" s="49" t="inlineStr">
        <is>
          <t>0</t>
        </is>
      </c>
      <c r="I726" s="49" t="str"/>
      <c r="J726" s="55">
        <f>INT((ROW()-2)/50)+1</f>
        <v/>
      </c>
      <c r="K726" s="55">
        <f>IF(H726="","Pending",IF(OR(H726="0",H726="1",H726="2",H726="U"),"Complete","Invalid"))</f>
        <v/>
      </c>
    </row>
    <row r="727" ht="84" customHeight="1">
      <c r="A727" s="43" t="inlineStr">
        <is>
          <t>v2q-017-candidate-13</t>
        </is>
      </c>
      <c r="B727" s="43" t="inlineStr">
        <is>
          <t>v2q-017</t>
        </is>
      </c>
      <c r="C727" s="43" t="inlineStr">
        <is>
          <t>Which training route serves people no longer in education or work who need an initial occupational skill?</t>
        </is>
      </c>
      <c r="D727" s="43" t="inlineStr">
        <is>
          <t>PMKVY 4.0 Short-Term Training provides fresh skilling, reskilling, or upskilling for groups including school or college dropouts and unemployed youth.</t>
        </is>
      </c>
      <c r="E727" s="43" t="inlineStr">
        <is>
          <t>pilot-v2-doc-pmkvy-rpl-0002-a3163111d20f</t>
        </is>
      </c>
      <c r="F727" s="43" t="inlineStr">
        <is>
          <t>Pradhan Mantri Kaushal Vikas Yojana 4.0 - Recognition Of Prior Learning</t>
        </is>
      </c>
      <c r="G727" s="43" t="inlineStr">
        <is>
          <t>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 Mode of disbursement: Funds are transferred directly to the RPL-PIA's bank account through Direct Benefit Transfer (DBT).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The applicant should be an Indian national. The applicant should possess a valid Aadhaar. The applicant should be in the age group of 18 to 59 years. The applicant should be a candidate with prior learning experience or skills, willing to get assessed and certified. The applicant should have prior experience in the job role for which RPL certification is being sought, as specified in the job role. The applicant should fulfil the eligibility criteria of the respective job role.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t>
        </is>
      </c>
      <c r="H727" s="49" t="inlineStr">
        <is>
          <t>1</t>
        </is>
      </c>
      <c r="I727" s="49" t="str"/>
      <c r="J727" s="55">
        <f>INT((ROW()-2)/50)+1</f>
        <v/>
      </c>
      <c r="K727" s="55">
        <f>IF(H727="","Pending",IF(OR(H727="0",H727="1",H727="2",H727="U"),"Complete","Invalid"))</f>
        <v/>
      </c>
    </row>
    <row r="728" ht="84" customHeight="1">
      <c r="A728" s="43" t="inlineStr">
        <is>
          <t>v2q-007-candidate-17</t>
        </is>
      </c>
      <c r="B728" s="43" t="inlineStr">
        <is>
          <t>v2q-007</t>
        </is>
      </c>
      <c r="C728" s="43" t="inlineStr">
        <is>
          <t>What is the full form of PMJJBY, and which event does its life insurance cover?</t>
        </is>
      </c>
      <c r="D728" s="43" t="inlineStr">
        <is>
          <t>PMJJBY stands for Pradhan Mantri Jeevan Jyoti Bima Yojana and provides life-insurance cover for death due to any reason.</t>
        </is>
      </c>
      <c r="E728" s="43" t="inlineStr">
        <is>
          <t>pilot-v2-doc-apy-0000-c43dd88d7899</t>
        </is>
      </c>
      <c r="F728" s="43" t="inlineStr">
        <is>
          <t>Atal Pension Yojana</t>
        </is>
      </c>
      <c r="G728"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728" s="49" t="inlineStr">
        <is>
          <t>0</t>
        </is>
      </c>
      <c r="I728" s="49" t="str"/>
      <c r="J728" s="55">
        <f>INT((ROW()-2)/50)+1</f>
        <v/>
      </c>
      <c r="K728" s="55">
        <f>IF(H728="","Pending",IF(OR(H728="0",H728="1",H728="2",H728="U"),"Complete","Invalid"))</f>
        <v/>
      </c>
    </row>
    <row r="729" ht="84" customHeight="1">
      <c r="A729" s="43" t="inlineStr">
        <is>
          <t>v2q-023-candidate-05</t>
        </is>
      </c>
      <c r="B729" s="43" t="inlineStr">
        <is>
          <t>v2q-023</t>
        </is>
      </c>
      <c r="C729" s="43" t="inlineStr">
        <is>
          <t>What role does a Gram Panchayat play when a household registers for MGNREGA?</t>
        </is>
      </c>
      <c r="D729" s="43" t="inlineStr">
        <is>
          <t>A household may apply through its local Gram Panchayat, which verifies residence, household identity, and adult membership details.</t>
        </is>
      </c>
      <c r="E729" s="43" t="inlineStr">
        <is>
          <t>pilot-v2-doc-pm-kisan-guidelines-0007-38a7fcb29c5d</t>
        </is>
      </c>
      <c r="F729" s="43" t="inlineStr">
        <is>
          <t>PM-KISAN Operational Guidelines</t>
        </is>
      </c>
      <c r="G729" s="43" t="inlineStr">
        <is>
          <t>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 Jharkhand,
the following proposal of Government of Jharkhand was considered and approved by
the Committee:
“The farmer will be asked to submit ‘Vanshavali (Lineage)’ linked to the entry of land
record comprising his \ her ancestor’s name giving a chart of successor. This lineage
chart shall be submitted before the Gram Sabha for calling objections. After approval of
the Gram Sabha, the  village  level  \  circle  level revenue  officials  will  verify and
authenticate the Vanshawali and possession of holding. This authenticated  list of
farmers after due verification of succession chart shall be countersigned by the District
level revenue  authority. Farmers’ names,  subject  to the exclusion  criterion  after
following the aforementioned process, shall be uploaded on the PM-Kisan portal along
with other required details for this disbursement of benefit under the scheme.”
6.    Strategy for Implementation
6.1   The States shall prepare database of eligible beneficiary land holder farmer
families in the villages capturing the Name, Age, Gender, Category (SC/ST), Aadhaar
Number, Bank  Account Number and  the  Mobile Number  of  the  beneficiaries.
Responsibility of identifying the land holder farmer family eligible for benefit under the
scheme shall be of the State  / UT Government. In case of beneficiaries in States of
Assam, Meghalaya, J&amp;K where Aadhaar number has not been issued to most of the
citizens, Aadhaar number shall be collected for those beneficiaries where it is available
and for others alternate prescribed documents such as Driving Licence, Voters’ ID Card,
NREGA</t>
        </is>
      </c>
      <c r="H729" s="49" t="inlineStr">
        <is>
          <t>0</t>
        </is>
      </c>
      <c r="I729" s="49" t="str"/>
      <c r="J729" s="55">
        <f>INT((ROW()-2)/50)+1</f>
        <v/>
      </c>
      <c r="K729" s="55">
        <f>IF(H729="","Pending",IF(OR(H729="0",H729="1",H729="2",H729="U"),"Complete","Invalid"))</f>
        <v/>
      </c>
    </row>
    <row r="730" ht="84" customHeight="1">
      <c r="A730" s="43" t="inlineStr">
        <is>
          <t>v2q-020-candidate-06</t>
        </is>
      </c>
      <c r="B730" s="43" t="inlineStr">
        <is>
          <t>v2q-020</t>
        </is>
      </c>
      <c r="C730" s="43" t="inlineStr">
        <is>
          <t>How do NSDC and SPIAs divide responsibility in the Special Projects arm of the national skill mission?</t>
        </is>
      </c>
      <c r="D730" s="43" t="inlineStr">
        <is>
          <t>NSDC supports the ministry’s implementation, while Special Projects Implementing Agencies deliver the projects on the ground.</t>
        </is>
      </c>
      <c r="E730" s="43" t="inlineStr">
        <is>
          <t>pilot-v2-doc-pmkvy-sp-0001-43aac7629fa6</t>
        </is>
      </c>
      <c r="F730" s="43" t="inlineStr">
        <is>
          <t>Pradhan Mantri Kaushal Vikas Yojana 4.0- Special Projects</t>
        </is>
      </c>
      <c r="G730" s="43" t="inlineStr">
        <is>
          <t>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 lifelong skilling through upskilling and reskilling to address the dynamic needs of the ever-changing market. The scheme ensures quality training delivery through trained pedagogy, standardised assessments, and industry-relevant curriculum. The scheme facilitates enhanced employability through training in transferable skills and incentives for employment generation. The scheme provides candidate-centric training with emphasis on industry-relevant skills.. The scheme aims to address the skilling needs of marginalised groups and difficult geographies. Project-based short-term skill training is provided to such candidates.. The following benefits are provided to candidates under Special Projects: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t>
        </is>
      </c>
      <c r="H730" s="49" t="inlineStr">
        <is>
          <t>1</t>
        </is>
      </c>
      <c r="I730" s="49" t="str"/>
      <c r="J730" s="55">
        <f>INT((ROW()-2)/50)+1</f>
        <v/>
      </c>
      <c r="K730" s="55">
        <f>IF(H730="","Pending",IF(OR(H730="0",H730="1",H730="2",H730="U"),"Complete","Invalid"))</f>
        <v/>
      </c>
    </row>
    <row r="731" ht="84" customHeight="1">
      <c r="A731" s="43" t="inlineStr">
        <is>
          <t>v2q-023-candidate-08</t>
        </is>
      </c>
      <c r="B731" s="43" t="inlineStr">
        <is>
          <t>v2q-023</t>
        </is>
      </c>
      <c r="C731" s="43" t="inlineStr">
        <is>
          <t>What role does a Gram Panchayat play when a household registers for MGNREGA?</t>
        </is>
      </c>
      <c r="D731" s="43" t="inlineStr">
        <is>
          <t>A household may apply through its local Gram Panchayat, which verifies residence, household identity, and adult membership details.</t>
        </is>
      </c>
      <c r="E731" s="43" t="inlineStr">
        <is>
          <t>pilot-v2-doc-mgnrega-0003-008750b5fc90</t>
        </is>
      </c>
      <c r="F731" s="43" t="inlineStr">
        <is>
          <t>Mahatma Gandhi National Rural Employment Guarantee Act</t>
        </is>
      </c>
      <c r="G731" s="43" t="inlineStr">
        <is>
          <t>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is>
      </c>
      <c r="H731" s="49" t="inlineStr">
        <is>
          <t>2</t>
        </is>
      </c>
      <c r="I731" s="49" t="str"/>
      <c r="J731" s="55">
        <f>INT((ROW()-2)/50)+1</f>
        <v/>
      </c>
      <c r="K731" s="55">
        <f>IF(H731="","Pending",IF(OR(H731="0",H731="1",H731="2",H731="U"),"Complete","Invalid"))</f>
        <v/>
      </c>
    </row>
    <row r="732" ht="84" customHeight="1">
      <c r="A732" s="43" t="inlineStr">
        <is>
          <t>v2q-031-candidate-14</t>
        </is>
      </c>
      <c r="B732" s="43" t="inlineStr">
        <is>
          <t>v2q-031</t>
        </is>
      </c>
      <c r="C732" s="43" t="inlineStr">
        <is>
          <t>How do three finance-sector programmes combine basic banking, life insurance, and accident insurance?</t>
        </is>
      </c>
      <c r="D732" s="43" t="inlineStr">
        <is>
          <t>PMJDY provides universal banking and access to financial services; PMJJBY supplies life cover for death from any cause; PMSBY supplies accidental-death and disability cover.</t>
        </is>
      </c>
      <c r="E732" s="43" t="inlineStr">
        <is>
          <t>pilot-v2-doc-apy-0003-68e7199c9d14</t>
        </is>
      </c>
      <c r="F732" s="43" t="inlineStr">
        <is>
          <t>Atal Pension Yojana</t>
        </is>
      </c>
      <c r="G732" s="43" t="inlineStr">
        <is>
          <t>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is>
      </c>
      <c r="H732" s="49" t="inlineStr">
        <is>
          <t>0</t>
        </is>
      </c>
      <c r="I732" s="49" t="str"/>
      <c r="J732" s="55">
        <f>INT((ROW()-2)/50)+1</f>
        <v/>
      </c>
      <c r="K732" s="55">
        <f>IF(H732="","Pending",IF(OR(H732="0",H732="1",H732="2",H732="U"),"Complete","Invalid"))</f>
        <v/>
      </c>
    </row>
    <row r="733" ht="84" customHeight="1">
      <c r="A733" s="43" t="inlineStr">
        <is>
          <t>v2q-019-candidate-23</t>
        </is>
      </c>
      <c r="B733" s="43" t="inlineStr">
        <is>
          <t>v2q-019</t>
        </is>
      </c>
      <c r="C733" s="43" t="inlineStr">
        <is>
          <t>What role does the Ministry of Petroleum and Natural Gas have in Ujjwala 2.0?</t>
        </is>
      </c>
      <c r="D733" s="43" t="inlineStr">
        <is>
          <t>The ministry introduced Ujjwala 2.0 to provide LPG connections and promote clean cooking fuel among poor, rural, and deprived households.</t>
        </is>
      </c>
      <c r="E733" s="43" t="inlineStr">
        <is>
          <t>pilot-v2-doc-ab-pmjay-0000-94c82a474579</t>
        </is>
      </c>
      <c r="F733" s="43" t="inlineStr">
        <is>
          <t>Ayushman Bharat - Pradhan Mantri Jan Arogya Yojana</t>
        </is>
      </c>
      <c r="G733" s="43" t="inlineStr">
        <is>
          <t>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is>
      </c>
      <c r="H733" s="49" t="inlineStr">
        <is>
          <t>0</t>
        </is>
      </c>
      <c r="I733" s="49" t="str"/>
      <c r="J733" s="55">
        <f>INT((ROW()-2)/50)+1</f>
        <v/>
      </c>
      <c r="K733" s="55">
        <f>IF(H733="","Pending",IF(OR(H733="0",H733="1",H733="2",H733="U"),"Complete","Invalid"))</f>
        <v/>
      </c>
    </row>
    <row r="734" ht="84" customHeight="1">
      <c r="A734" s="43" t="inlineStr">
        <is>
          <t>v2q-031-candidate-01</t>
        </is>
      </c>
      <c r="B734" s="43" t="inlineStr">
        <is>
          <t>v2q-031</t>
        </is>
      </c>
      <c r="C734" s="43" t="inlineStr">
        <is>
          <t>How do three finance-sector programmes combine basic banking, life insurance, and accident insurance?</t>
        </is>
      </c>
      <c r="D734" s="43" t="inlineStr">
        <is>
          <t>PMJDY provides universal banking and access to financial services; PMJJBY supplies life cover for death from any cause; PMSBY supplies accidental-death and disability cover.</t>
        </is>
      </c>
      <c r="E734" s="43" t="inlineStr">
        <is>
          <t>pilot-v2-doc-pmsby-0000-0f297846df39</t>
        </is>
      </c>
      <c r="F734" s="43" t="inlineStr">
        <is>
          <t>Pradhan Mantri Suraksha Bima Yojana</t>
        </is>
      </c>
      <c r="G734" s="43" t="inlineStr">
        <is>
          <t>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is>
      </c>
      <c r="H734" s="49" t="inlineStr">
        <is>
          <t>2</t>
        </is>
      </c>
      <c r="I734" s="49" t="str"/>
      <c r="J734" s="55">
        <f>INT((ROW()-2)/50)+1</f>
        <v/>
      </c>
      <c r="K734" s="55">
        <f>IF(H734="","Pending",IF(OR(H734="0",H734="1",H734="2",H734="U"),"Complete","Invalid"))</f>
        <v/>
      </c>
    </row>
    <row r="735" ht="84" customHeight="1">
      <c r="A735" s="43" t="inlineStr">
        <is>
          <t>v2q-030-candidate-10</t>
        </is>
      </c>
      <c r="B735" s="43" t="inlineStr">
        <is>
          <t>v2q-030</t>
        </is>
      </c>
      <c r="C735" s="43" t="inlineStr">
        <is>
          <t>What retirement benefit does APY offer, and which life-insurance programme administered through the same department covers death from any cause?</t>
        </is>
      </c>
      <c r="D735" s="43" t="inlineStr">
        <is>
          <t>APY offers guaranteed monthly pension options after age 60. PMJJBY, associated with the same Department of Financial Services, provides life cover for death due to any reason.</t>
        </is>
      </c>
      <c r="E735" s="43" t="inlineStr">
        <is>
          <t>pilot-v2-doc-pmfby-0001-4270154049cc</t>
        </is>
      </c>
      <c r="F735" s="43" t="inlineStr">
        <is>
          <t>Pradhan Mantri Fasal Bima Yojna (PMFBY)</t>
        </is>
      </c>
      <c r="G735" s="43" t="inlineStr">
        <is>
          <t>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is>
      </c>
      <c r="H735" s="49" t="inlineStr">
        <is>
          <t>0</t>
        </is>
      </c>
      <c r="I735" s="49" t="str"/>
      <c r="J735" s="55">
        <f>INT((ROW()-2)/50)+1</f>
        <v/>
      </c>
      <c r="K735" s="55">
        <f>IF(H735="","Pending",IF(OR(H735="0",H735="1",H735="2",H735="U"),"Complete","Invalid"))</f>
        <v/>
      </c>
    </row>
    <row r="736" ht="84" customHeight="1">
      <c r="A736" s="43" t="inlineStr">
        <is>
          <t>v2q-004-candidate-17</t>
        </is>
      </c>
      <c r="B736" s="43" t="inlineStr">
        <is>
          <t>v2q-004</t>
        </is>
      </c>
      <c r="C736" s="43" t="inlineStr">
        <is>
          <t>What is the maximum micro-loan amount stated for PMMY?</t>
        </is>
      </c>
      <c r="D736" s="43" t="inlineStr">
        <is>
          <t>PMMY facilitates micro-credit loans up to ₹20 lakh for eligible income-generating micro-enterprises.</t>
        </is>
      </c>
      <c r="E736" s="43" t="inlineStr">
        <is>
          <t>pilot-v2-doc-pmjjby-0000-47f7bb620cd4</t>
        </is>
      </c>
      <c r="F736" s="43" t="inlineStr">
        <is>
          <t>Pradhan Mantri Jeevan Jyoti Bima Yojana</t>
        </is>
      </c>
      <c r="G736" s="43" t="inlineStr">
        <is>
          <t>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736" s="49" t="inlineStr">
        <is>
          <t>0</t>
        </is>
      </c>
      <c r="I736" s="49" t="str"/>
      <c r="J736" s="55">
        <f>INT((ROW()-2)/50)+1</f>
        <v/>
      </c>
      <c r="K736" s="55">
        <f>IF(H736="","Pending",IF(OR(H736="0",H736="1",H736="2",H736="U"),"Complete","Invalid"))</f>
        <v/>
      </c>
    </row>
    <row r="737" ht="84" customHeight="1">
      <c r="A737" s="43" t="inlineStr">
        <is>
          <t>v2q-032-candidate-17</t>
        </is>
      </c>
      <c r="B737" s="43" t="inlineStr">
        <is>
          <t>v2q-032</t>
        </is>
      </c>
      <c r="C737" s="43" t="inlineStr">
        <is>
          <t>How do three farmer programmes separately address crop loss, current income needs, and old-age income security?</t>
        </is>
      </c>
      <c r="D737" s="43" t="inlineStr">
        <is>
          <t>PMFBY insures crops against specified losses; PM-KISAN transfers ₹6,000 annually to eligible farmer families; PM-KMY provides eligible small and marginal farmers an assured ₹3,000 monthly pension from age 60.</t>
        </is>
      </c>
      <c r="E737" s="43" t="inlineStr">
        <is>
          <t>pilot-v2-doc-apy-0001-add48d27a4a2</t>
        </is>
      </c>
      <c r="F737" s="43" t="inlineStr">
        <is>
          <t>Atal Pension Yojana</t>
        </is>
      </c>
      <c r="G737" s="43"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737" s="49" t="inlineStr">
        <is>
          <t>0</t>
        </is>
      </c>
      <c r="I737" s="49" t="str"/>
      <c r="J737" s="55">
        <f>INT((ROW()-2)/50)+1</f>
        <v/>
      </c>
      <c r="K737" s="55">
        <f>IF(H737="","Pending",IF(OR(H737="0",H737="1",H737="2",H737="U"),"Complete","Invalid"))</f>
        <v/>
      </c>
    </row>
    <row r="738" ht="84" customHeight="1">
      <c r="A738" s="43" t="inlineStr">
        <is>
          <t>v2q-024-candidate-13</t>
        </is>
      </c>
      <c r="B738" s="43" t="inlineStr">
        <is>
          <t>v2q-024</t>
        </is>
      </c>
      <c r="C738" s="43" t="inlineStr">
        <is>
          <t>Which national health-assurance programme does NHA implement under the health ministry?</t>
        </is>
      </c>
      <c r="D738" s="43" t="inlineStr">
        <is>
          <t>The National Health Authority implements AB-PMJAY under the Ministry of Health and Family Welfare.</t>
        </is>
      </c>
      <c r="E738" s="43" t="inlineStr">
        <is>
          <t>pilot-v2-doc-pmuy-0000-ad06c0c09d46</t>
        </is>
      </c>
      <c r="F738" s="43" t="inlineStr">
        <is>
          <t>Pradhan Mantri Ujjwala Yojana</t>
        </is>
      </c>
      <c r="G738" s="43" t="inlineStr">
        <is>
          <t>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is>
      </c>
      <c r="H738" s="49" t="inlineStr">
        <is>
          <t>0</t>
        </is>
      </c>
      <c r="I738" s="49" t="str"/>
      <c r="J738" s="55">
        <f>INT((ROW()-2)/50)+1</f>
        <v/>
      </c>
      <c r="K738" s="55">
        <f>IF(H738="","Pending",IF(OR(H738="0",H738="1",H738="2",H738="U"),"Complete","Invalid"))</f>
        <v/>
      </c>
    </row>
    <row r="739" ht="84" customHeight="1">
      <c r="A739" s="43" t="inlineStr">
        <is>
          <t>v2q-012-candidate-12</t>
        </is>
      </c>
      <c r="B739" s="43" t="inlineStr">
        <is>
          <t>v2q-012</t>
        </is>
      </c>
      <c r="C739" s="43" t="inlineStr">
        <is>
          <t>What does PM SVANidhi stand for, and who is its intended beneficiary group?</t>
        </is>
      </c>
      <c r="D739" s="43" t="inlineStr">
        <is>
          <t>PM SVANidhi stands for PM Street Vendor’s AtmaNirbhar Nidhi and supports street vendors through working-capital and related incentives.</t>
        </is>
      </c>
      <c r="E739" s="43" t="inlineStr">
        <is>
          <t>pilot-v2-doc-pmmy-0001-6035d0d102e8</t>
        </is>
      </c>
      <c r="F739" s="43" t="inlineStr">
        <is>
          <t>Pradhan Mantri Mudra Yojana</t>
        </is>
      </c>
      <c r="G739" s="43" t="inlineStr">
        <is>
          <t>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is>
      </c>
      <c r="H739" s="49" t="inlineStr">
        <is>
          <t>0</t>
        </is>
      </c>
      <c r="I739" s="49" t="str"/>
      <c r="J739" s="55">
        <f>INT((ROW()-2)/50)+1</f>
        <v/>
      </c>
      <c r="K739" s="55">
        <f>IF(H739="","Pending",IF(OR(H739="0",H739="1",H739="2",H739="U"),"Complete","Invalid"))</f>
        <v/>
      </c>
    </row>
    <row r="740" ht="84" customHeight="1">
      <c r="A740" s="43" t="inlineStr">
        <is>
          <t>v2q-003-candidate-19</t>
        </is>
      </c>
      <c r="B740" s="43" t="inlineStr">
        <is>
          <t>v2q-003</t>
        </is>
      </c>
      <c r="C740" s="43" t="inlineStr">
        <is>
          <t>What revised overdraft limit and RuPay accidental-insurance cover are stated for PMJDY?</t>
        </is>
      </c>
      <c r="D740" s="43" t="inlineStr">
        <is>
          <t>PMJDY states a revised overdraft limit of ₹10,000 and accidental-insurance cover of ₹2 lakh for RuPay cardholders.</t>
        </is>
      </c>
      <c r="E740" s="43" t="inlineStr">
        <is>
          <t>pilot-v2-doc-pmmy-0000-70a89ee32765</t>
        </is>
      </c>
      <c r="F740" s="43" t="inlineStr">
        <is>
          <t>Pradhan Mantri Mudra Yojana</t>
        </is>
      </c>
      <c r="G740" s="43" t="inlineStr">
        <is>
          <t>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is>
      </c>
      <c r="H740" s="49" t="inlineStr">
        <is>
          <t>0</t>
        </is>
      </c>
      <c r="I740" s="49" t="str"/>
      <c r="J740" s="55">
        <f>INT((ROW()-2)/50)+1</f>
        <v/>
      </c>
      <c r="K740" s="55">
        <f>IF(H740="","Pending",IF(OR(H740="0",H740="1",H740="2",H740="U"),"Complete","Invalid"))</f>
        <v/>
      </c>
    </row>
    <row r="741" ht="84" customHeight="1">
      <c r="A741" s="43" t="inlineStr">
        <is>
          <t>v2q-019-candidate-15</t>
        </is>
      </c>
      <c r="B741" s="43" t="inlineStr">
        <is>
          <t>v2q-019</t>
        </is>
      </c>
      <c r="C741" s="43" t="inlineStr">
        <is>
          <t>What role does the Ministry of Petroleum and Natural Gas have in Ujjwala 2.0?</t>
        </is>
      </c>
      <c r="D741" s="43" t="inlineStr">
        <is>
          <t>The ministry introduced Ujjwala 2.0 to provide LPG connections and promote clean cooking fuel among poor, rural, and deprived households.</t>
        </is>
      </c>
      <c r="E741" s="43" t="inlineStr">
        <is>
          <t>pilot-v2-doc-pmuy-0001-5fd4d0cd2135</t>
        </is>
      </c>
      <c r="F741" s="43" t="inlineStr">
        <is>
          <t>Pradhan Mantri Ujjwala Yojana</t>
        </is>
      </c>
      <c r="G741" s="43" t="inlineStr">
        <is>
          <t>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is>
      </c>
      <c r="H741" s="49" t="inlineStr">
        <is>
          <t>1</t>
        </is>
      </c>
      <c r="I741" s="49" t="str"/>
      <c r="J741" s="55">
        <f>INT((ROW()-2)/50)+1</f>
        <v/>
      </c>
      <c r="K741" s="55">
        <f>IF(H741="","Pending",IF(OR(H741="0",H741="1",H741="2",H741="U"),"Complete","Invalid"))</f>
        <v/>
      </c>
    </row>
    <row r="742" ht="84" customHeight="1">
      <c r="A742" s="43" t="inlineStr">
        <is>
          <t>v2q-022-candidate-21</t>
        </is>
      </c>
      <c r="B742" s="43" t="inlineStr">
        <is>
          <t>v2q-022</t>
        </is>
      </c>
      <c r="C742" s="43" t="inlineStr">
        <is>
          <t>Which finance programme relies on Member Lending Institutions to extend assistance to non-corporate micro-enterprises?</t>
        </is>
      </c>
      <c r="D742" s="43" t="inlineStr">
        <is>
          <t>Eligible Member Lending Institutions extend PMMY financial assistance and provide the scheme’s micro-loans to qualifying micro and small enterprises.</t>
        </is>
      </c>
      <c r="E742" s="43" t="inlineStr">
        <is>
          <t>pilot-v2-doc-pm-kmy-guidelines-0022-e87f63954812</t>
        </is>
      </c>
      <c r="F742" s="43" t="inlineStr">
        <is>
          <t>Pradhan Mantri Kisan Maan Dhan Yojana Operational Guidelines</t>
        </is>
      </c>
      <c r="G742" s="43" t="inlineStr">
        <is>
          <t>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 liability on the other participating stakeholders. The
process to be followed for dispute resolution is provided in the MoUs.
g)    Any matter related to execution, grievance redressal, dispute resolution etc. shall
be  referred  to  the  Joint  Secretary (Farmers  Welfare), Department  of  Agriculture,
Cooperation and Farmers Welfare, Ministry of Agriculture &amp; farmers Welfare,  Krishi
Bhavan, New Delhi – 110001 for redressal.
                                    ******
                                              15
प्रधानमंत्री किसान मानधन योजना (पीएम-िेएमवाई)
                                  प्रचालन संबंधी दिशाननिेश
1. स्िनम
      सरकार  ने  देश  के सभी भूधारक लघु और  सीमाांत  ककसानों  के ललए  "प्रधानमांत्री ककसान
मान-धन  योजना  (पीएम-केएमवाई)", नामक  वृद्धावस्था  पेंशन  योजना   शुरू  की   है  जो एक
स्वैच्छिक और अांशदायी पेंशन  स्कीम  है और इसमें शालमल  होने की आयु 18 से 40 वर्ष  है। यह
स्कीम    9 अगस्त, 2019 से प्रभावी  है।
2. उद्िेश्य और लाभ
      सरकार की ओर से ककसानों के ललए आय और मूल्य समथषन के ललए कई योजनाएां चलाई
गई  हैं। तथापप, ककसानों के ललए एक सामाच्जक  सुरक्षा कवच सृच्जत करने की जरूरत महसूस की
गई  है  क्योंकक  वृद्धावस्था   में अधधकाांश ककसानों की आजीपवका  के साधन नह रह जाते। खेती-
बाडी के ललए  खेतों  में कडी मेहनत करनी होती  है जो उनकी  उम्र की इस अवस्था  में कन न होता
है। यह समस्या लघु और सीमाांत ककसानों के ललए और भी बडी होती  है क्योंकक उनके पास  बुढापे
में बेहद मामूल  या  शून्य बचत होती  है।  प्रधानमांत्री ककसान मान धन योजना (पीएम-केएमवाई) के
अांतगषत सभी भूधारक लघु और  सीमाांत ककसानों  पुरूर् और  स्त्री  दोनों  के ललए</t>
        </is>
      </c>
      <c r="H742" s="49" t="inlineStr">
        <is>
          <t>0</t>
        </is>
      </c>
      <c r="I742" s="49" t="str"/>
      <c r="J742" s="55">
        <f>INT((ROW()-2)/50)+1</f>
        <v/>
      </c>
      <c r="K742" s="55">
        <f>IF(H742="","Pending",IF(OR(H742="0",H742="1",H742="2",H742="U"),"Complete","Invalid"))</f>
        <v/>
      </c>
    </row>
    <row r="743" ht="84" customHeight="1">
      <c r="A743" s="43" t="inlineStr">
        <is>
          <t>v2q-002-candidate-16</t>
        </is>
      </c>
      <c r="B743" s="43" t="inlineStr">
        <is>
          <t>v2q-002</t>
        </is>
      </c>
      <c r="C743" s="43" t="inlineStr">
        <is>
          <t>What maximum premium rates can farmers pay under PMFBY for Kharif, Rabi, and annual commercial or horticultural crops?</t>
        </is>
      </c>
      <c r="D743" s="43" t="inlineStr">
        <is>
          <t>Farmers pay at most 2% for Kharif food and oilseed crops, 1.5% for Rabi food and oilseed crops, and 5% for annual commercial or horticultural crops.</t>
        </is>
      </c>
      <c r="E743" s="43" t="inlineStr">
        <is>
          <t>pilot-v2-doc-pm-gkay-0000-c29b96f46a80</t>
        </is>
      </c>
      <c r="F743" s="43" t="inlineStr">
        <is>
          <t>Pradhan Mantri Garib Kalyan Anna Yojana</t>
        </is>
      </c>
      <c r="G743" s="43" t="inlineStr">
        <is>
          <t>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is>
      </c>
      <c r="H743" s="49" t="inlineStr">
        <is>
          <t>0</t>
        </is>
      </c>
      <c r="I743" s="49" t="str"/>
      <c r="J743" s="55">
        <f>INT((ROW()-2)/50)+1</f>
        <v/>
      </c>
      <c r="K743" s="55">
        <f>IF(H743="","Pending",IF(OR(H743="0",H743="1",H743="2",H743="U"),"Complete","Invalid"))</f>
        <v/>
      </c>
    </row>
    <row r="744" ht="84" customHeight="1">
      <c r="A744" s="43" t="inlineStr">
        <is>
          <t>v2q-025-candidate-01</t>
        </is>
      </c>
      <c r="B744" s="43" t="inlineStr">
        <is>
          <t>v2q-025</t>
        </is>
      </c>
      <c r="C744" s="43" t="inlineStr">
        <is>
          <t>What banking function does PMJDY provide, and which other programme from its ministry finances income-generating micro-enterprises?</t>
        </is>
      </c>
      <c r="D744" s="43" t="inlineStr">
        <is>
          <t>PMJDY provides universal banking services for unbanked households. PMMY, under the same Ministry of Finance, provides micro-credit for income-generating micro-enterprises.</t>
        </is>
      </c>
      <c r="E744" s="43" t="inlineStr">
        <is>
          <t>pilot-v2-doc-pmegp-0000-7b958e1ec4b0</t>
        </is>
      </c>
      <c r="F744" s="43" t="inlineStr">
        <is>
          <t>Prime Minister's Employment Generation Programme</t>
        </is>
      </c>
      <c r="G744" s="43" t="inlineStr">
        <is>
          <t>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is>
      </c>
      <c r="H744" s="49" t="inlineStr">
        <is>
          <t>0</t>
        </is>
      </c>
      <c r="I744" s="49" t="str"/>
      <c r="J744" s="55">
        <f>INT((ROW()-2)/50)+1</f>
        <v/>
      </c>
      <c r="K744" s="55">
        <f>IF(H744="","Pending",IF(OR(H744="0",H744="1",H744="2",H744="U"),"Complete","Invalid"))</f>
        <v/>
      </c>
    </row>
    <row r="745" ht="84" customHeight="1">
      <c r="A745" s="43" t="inlineStr">
        <is>
          <t>v2q-008-candidate-25</t>
        </is>
      </c>
      <c r="B745" s="43" t="inlineStr">
        <is>
          <t>v2q-008</t>
        </is>
      </c>
      <c r="C745" s="43" t="inlineStr">
        <is>
          <t>Which accident-insurance programme is abbreviated PMSBY, and which outcomes trigger its cover?</t>
        </is>
      </c>
      <c r="D745" s="43" t="inlineStr">
        <is>
          <t>PMSBY stands for Pradhan Mantri Suraksha Bima Yojana and covers accidental death and disability.</t>
        </is>
      </c>
      <c r="E745" s="43" t="inlineStr">
        <is>
          <t>pilot-v2-doc-pm-kisan-guidelines-0000-bbe94f08550e</t>
        </is>
      </c>
      <c r="F745" s="43" t="inlineStr">
        <is>
          <t>PM-KISAN Operational Guidelines</t>
        </is>
      </c>
      <c r="G745" s="43" t="inlineStr">
        <is>
          <t>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is>
      </c>
      <c r="H745" s="49" t="inlineStr">
        <is>
          <t>0</t>
        </is>
      </c>
      <c r="I745" s="49" t="str"/>
      <c r="J745" s="55">
        <f>INT((ROW()-2)/50)+1</f>
        <v/>
      </c>
      <c r="K745" s="55">
        <f>IF(H745="","Pending",IF(OR(H745="0",H745="1",H745="2",H745="U"),"Complete","Invalid"))</f>
        <v/>
      </c>
    </row>
    <row r="746" ht="84" customHeight="1">
      <c r="A746" s="43" t="inlineStr">
        <is>
          <t>v2q-015-candidate-22</t>
        </is>
      </c>
      <c r="B746" s="43" t="inlineStr">
        <is>
          <t>v2q-015</t>
        </is>
      </c>
      <c r="C746" s="43" t="inlineStr">
        <is>
          <t>Which initiative helps job-seekers and established craftspeople launch small businesses outside agriculture?</t>
        </is>
      </c>
      <c r="D746" s="43" t="inlineStr">
        <is>
          <t>The Prime Minister's Employment Generation Programme supports new micro-enterprises to create self-employment for traditional artisans, unemployed youth, and other eligible beneficiaries.</t>
        </is>
      </c>
      <c r="E746" s="43" t="inlineStr">
        <is>
          <t>pilot-v2-doc-ab-pmjay-0002-58c80bb24a6c</t>
        </is>
      </c>
      <c r="F746" s="43" t="inlineStr">
        <is>
          <t>Ayushman Bharat - Pradhan Mantri Jan Arogya Yojana</t>
        </is>
      </c>
      <c r="G746" s="43" t="inlineStr">
        <is>
          <t>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is>
      </c>
      <c r="H746" s="49" t="inlineStr">
        <is>
          <t>0</t>
        </is>
      </c>
      <c r="I746" s="49" t="str"/>
      <c r="J746" s="55">
        <f>INT((ROW()-2)/50)+1</f>
        <v/>
      </c>
      <c r="K746" s="55">
        <f>IF(H746="","Pending",IF(OR(H746="0",H746="1",H746="2",H746="U"),"Complete","Invalid"))</f>
        <v/>
      </c>
    </row>
    <row r="747" ht="84" customHeight="1">
      <c r="A747" s="43" t="inlineStr">
        <is>
          <t>v2q-031-candidate-05</t>
        </is>
      </c>
      <c r="B747" s="43" t="inlineStr">
        <is>
          <t>v2q-031</t>
        </is>
      </c>
      <c r="C747" s="43" t="inlineStr">
        <is>
          <t>How do three finance-sector programmes combine basic banking, life insurance, and accident insurance?</t>
        </is>
      </c>
      <c r="D747" s="43" t="inlineStr">
        <is>
          <t>PMJDY provides universal banking and access to financial services; PMJJBY supplies life cover for death from any cause; PMSBY supplies accidental-death and disability cover.</t>
        </is>
      </c>
      <c r="E747" s="43" t="inlineStr">
        <is>
          <t>pilot-v2-doc-ab-pmjay-0001-a632a7205efc</t>
        </is>
      </c>
      <c r="F747" s="43" t="inlineStr">
        <is>
          <t>Ayushman Bharat - Pradhan Mantri Jan Arogya Yojana</t>
        </is>
      </c>
      <c r="G747"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747" s="49" t="inlineStr">
        <is>
          <t>0</t>
        </is>
      </c>
      <c r="I747" s="49" t="str"/>
      <c r="J747" s="55">
        <f>INT((ROW()-2)/50)+1</f>
        <v/>
      </c>
      <c r="K747" s="55">
        <f>IF(H747="","Pending",IF(OR(H747="0",H747="1",H747="2",H747="U"),"Complete","Invalid"))</f>
        <v/>
      </c>
    </row>
    <row r="748" ht="84" customHeight="1">
      <c r="A748" s="43" t="inlineStr">
        <is>
          <t>v2q-007-candidate-20</t>
        </is>
      </c>
      <c r="B748" s="43" t="inlineStr">
        <is>
          <t>v2q-007</t>
        </is>
      </c>
      <c r="C748" s="43" t="inlineStr">
        <is>
          <t>What is the full form of PMJJBY, and which event does its life insurance cover?</t>
        </is>
      </c>
      <c r="D748" s="43" t="inlineStr">
        <is>
          <t>PMJJBY stands for Pradhan Mantri Jeevan Jyoti Bima Yojana and provides life-insurance cover for death due to any reason.</t>
        </is>
      </c>
      <c r="E748" s="43" t="inlineStr">
        <is>
          <t>pilot-v2-doc-pm-kmy-guidelines-0021-7ce201d9d183</t>
        </is>
      </c>
      <c r="F748" s="43" t="inlineStr">
        <is>
          <t>Pradhan Mantri Kisan Maan Dhan Yojana Operational Guidelines</t>
        </is>
      </c>
      <c r="G748" s="43" t="inlineStr">
        <is>
          <t>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is>
      </c>
      <c r="H748" s="49" t="inlineStr">
        <is>
          <t>0</t>
        </is>
      </c>
      <c r="I748" s="49" t="str"/>
      <c r="J748" s="55">
        <f>INT((ROW()-2)/50)+1</f>
        <v/>
      </c>
      <c r="K748" s="55">
        <f>IF(H748="","Pending",IF(OR(H748="0",H748="1",H748="2",H748="U"),"Complete","Invalid"))</f>
        <v/>
      </c>
    </row>
    <row r="749" ht="84" customHeight="1">
      <c r="A749" s="43" t="inlineStr">
        <is>
          <t>v2q-016-candidate-09</t>
        </is>
      </c>
      <c r="B749" s="43" t="inlineStr">
        <is>
          <t>v2q-016</t>
        </is>
      </c>
      <c r="C749" s="43" t="inlineStr">
        <is>
          <t>How can an experienced worker obtain formal recognition for skills learned outside a training course?</t>
        </is>
      </c>
      <c r="D749" s="43" t="inlineStr">
        <is>
          <t>PMKVY 4.0 Recognition of Prior Learning assesses, upskills, and certifies candidates who already possess relevant skills or prior-learning experience.</t>
        </is>
      </c>
      <c r="E749" s="43" t="inlineStr">
        <is>
          <t>pilot-v2-doc-pmkvy-stt-0003-3729a1c2e22c</t>
        </is>
      </c>
      <c r="F749" s="43" t="inlineStr">
        <is>
          <t>Pradhan Mantri Kaushal Vikas Yojana 4.0 - Short-Term Training</t>
        </is>
      </c>
      <c r="G749" s="43" t="inlineStr">
        <is>
          <t>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for training in the same sector, with the second time being for a higher NSQF-aligned job role only, and with a six-month gap between the certification date of the first course and the batch start date of the subsequent course.. Step 1: The applicant first registers on the Skill India Digital (SID) platform or the mobile application developed for the purpose; profile verification is completed through mobile-based OTP (eKYC), and a de-duplication check is carried out against the SID database to prevent re-enrolment in the same job role. Step 2: During registration, candidate profiling is done, with existing details fetched from other portals such as e-Shram and the National Career Services (NCS). Step 3: Online counselling is offered through SID to help the candidate select an appropriate course and Training Centre; the candidate may select the nearest Training Centre based on the availability of the preferred job role and the 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t>
        </is>
      </c>
      <c r="H749" s="49" t="inlineStr">
        <is>
          <t>1</t>
        </is>
      </c>
      <c r="I749" s="49" t="str"/>
      <c r="J749" s="55">
        <f>INT((ROW()-2)/50)+1</f>
        <v/>
      </c>
      <c r="K749" s="55">
        <f>IF(H749="","Pending",IF(OR(H749="0",H749="1",H749="2",H749="U"),"Complete","Invalid"))</f>
        <v/>
      </c>
    </row>
    <row r="750" ht="84" customHeight="1">
      <c r="A750" s="43" t="inlineStr">
        <is>
          <t>v2q-011-candidate-19</t>
        </is>
      </c>
      <c r="B750" s="43" t="inlineStr">
        <is>
          <t>v2q-011</t>
        </is>
      </c>
      <c r="C750" s="43" t="inlineStr">
        <is>
          <t>What does PM JANMAN stand for, and which communities does it target?</t>
        </is>
      </c>
      <c r="D750" s="43" t="inlineStr">
        <is>
          <t>PM JANMAN stands for PM Janjati Adivasi Nyaya Maha Abhiyan and targets Particularly Vulnerable Tribal Groups.</t>
        </is>
      </c>
      <c r="E750" s="43" t="inlineStr">
        <is>
          <t>pilot-v2-doc-ab-pmjay-0001-a632a7205efc</t>
        </is>
      </c>
      <c r="F750" s="43" t="inlineStr">
        <is>
          <t>Ayushman Bharat - Pradhan Mantri Jan Arogya Yojana</t>
        </is>
      </c>
      <c r="G750" s="43" t="inlineStr">
        <is>
          <t>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is>
      </c>
      <c r="H750" s="49" t="inlineStr">
        <is>
          <t>0</t>
        </is>
      </c>
      <c r="I750" s="49" t="str"/>
      <c r="J750" s="55">
        <f>INT((ROW()-2)/50)+1</f>
        <v/>
      </c>
      <c r="K750" s="55">
        <f>IF(H750="","Pending",IF(OR(H750="0",H750="1",H750="2",H750="U"),"Complete","Invalid"))</f>
        <v/>
      </c>
    </row>
    <row r="751" ht="84" customHeight="1">
      <c r="A751" s="43" t="inlineStr">
        <is>
          <t>v2q-002-candidate-25</t>
        </is>
      </c>
      <c r="B751" s="43" t="inlineStr">
        <is>
          <t>v2q-002</t>
        </is>
      </c>
      <c r="C751" s="43" t="inlineStr">
        <is>
          <t>What maximum premium rates can farmers pay under PMFBY for Kharif, Rabi, and annual commercial or horticultural crops?</t>
        </is>
      </c>
      <c r="D751" s="43" t="inlineStr">
        <is>
          <t>Farmers pay at most 2% for Kharif food and oilseed crops, 1.5% for Rabi food and oilseed crops, and 5% for annual commercial or horticultural crops.</t>
        </is>
      </c>
      <c r="E751" s="43" t="inlineStr">
        <is>
          <t>pilot-v2-doc-apy-0000-c43dd88d7899</t>
        </is>
      </c>
      <c r="F751" s="43" t="inlineStr">
        <is>
          <t>Atal Pension Yojana</t>
        </is>
      </c>
      <c r="G751" s="43" t="inlineStr">
        <is>
          <t>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is>
      </c>
      <c r="H751" s="49" t="inlineStr">
        <is>
          <t>0</t>
        </is>
      </c>
      <c r="I751" s="49" t="str"/>
      <c r="J751" s="55">
        <f>INT((ROW()-2)/50)+1</f>
        <v/>
      </c>
      <c r="K751" s="55">
        <f>IF(H751="","Pending",IF(OR(H751="0",H751="1",H751="2",H751="U"),"Complete","Invalid"))</f>
        <v/>
      </c>
    </row>
    <row r="752" ht="84" customHeight="1">
      <c r="A752" s="43" t="inlineStr">
        <is>
          <t>v2q-012-candidate-18</t>
        </is>
      </c>
      <c r="B752" s="43" t="inlineStr">
        <is>
          <t>v2q-012</t>
        </is>
      </c>
      <c r="C752" s="43" t="inlineStr">
        <is>
          <t>What does PM SVANidhi stand for, and who is its intended beneficiary group?</t>
        </is>
      </c>
      <c r="D752" s="43" t="inlineStr">
        <is>
          <t>PM SVANidhi stands for PM Street Vendor’s AtmaNirbhar Nidhi and supports street vendors through working-capital and related incentives.</t>
        </is>
      </c>
      <c r="E752" s="43" t="inlineStr">
        <is>
          <t>pilot-v2-doc-pmay-g-0000-d4162175877d</t>
        </is>
      </c>
      <c r="F752" s="43" t="inlineStr">
        <is>
          <t>Pradhan Mantri Awaas Yojana - Gramin</t>
        </is>
      </c>
      <c r="G752" s="43" t="inlineStr">
        <is>
          <t>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is>
      </c>
      <c r="H752" s="49" t="inlineStr">
        <is>
          <t>0</t>
        </is>
      </c>
      <c r="I752" s="49" t="str"/>
      <c r="J752" s="55">
        <f>INT((ROW()-2)/50)+1</f>
        <v/>
      </c>
      <c r="K752" s="55">
        <f>IF(H752="","Pending",IF(OR(H752="0",H752="1",H752="2",H752="U"),"Complete","Invalid"))</f>
        <v/>
      </c>
    </row>
    <row r="753" ht="84" customHeight="1">
      <c r="A753" s="43" t="inlineStr">
        <is>
          <t>v2q-033-candidate-05</t>
        </is>
      </c>
      <c r="B753" s="43" t="inlineStr">
        <is>
          <t>v2q-033</t>
        </is>
      </c>
      <c r="C753" s="43" t="inlineStr">
        <is>
          <t>How do three programmes support micro-enterprises, new enterprise creation, and street-vendor livelihoods through different financial mechanisms?</t>
        </is>
      </c>
      <c r="D753" s="43" t="inlineStr">
        <is>
          <t>PMMY provides micro-credit to eligible micro-enterprises; PMEGP uses a credit-linked subsidy to establish new micro-enterprises; PM SVANidhi provides street vendors collateral-free working-capital loans, interest subsidy, and digital-payment incentives.</t>
        </is>
      </c>
      <c r="E753" s="43" t="inlineStr">
        <is>
          <t>pilot-v2-doc-pm-kisan-guidelines-0011-06191a382507</t>
        </is>
      </c>
      <c r="F753" s="43" t="inlineStr">
        <is>
          <t>PM-KISAN Operational Guidelines</t>
        </is>
      </c>
      <c r="G753" s="43" t="inlineStr">
        <is>
          <t>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 details
at a single web-portal in a uniform structure.
9.2   The PM-Kisan Portal has been created with the following objectives -
i)    To provide verified and single source of truth on farmers’ details at the portal.
ii)     Timely assistance to the farmers in farm operation
iii)   A unified e-platform for transferring of cash benefits into farmer’s bank account
      through Public Financial Management System (PFMS) integration.
iv)    Location wise availability of benefited farmers’ list.
v)    Ease of monitoring across the country on fund transaction details.
9.3   PM-Kisan Portal :
The following farmer attributes need to be entered in the Portal:
Farmer Attributes: (Essential):
       State,  District, Sub-District/Block,  Village, Farmer Name, Type  of  Identity –
     Aadhaar Number and in case Aadhaar not available, Aadhaar enrollment number
       with any other ID proof like Voter ID etc, Gender, Category, IFSC Code, Bank
      Account Number.
Farmer Attributes (Optional):
      Father name, Address, Mobile Number, Date of Birth/Age, Farm-Size in Hectare,
      Survey Number, Khasra Number
      Optional attributes such as Mobile number can be utilized for SMS alerts. Other
       optional attributes may be used for purpose of future requirement.  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t>
        </is>
      </c>
      <c r="H753" s="49" t="inlineStr">
        <is>
          <t>0</t>
        </is>
      </c>
      <c r="I753" s="49" t="str"/>
      <c r="J753" s="55">
        <f>INT((ROW()-2)/50)+1</f>
        <v/>
      </c>
      <c r="K753" s="55">
        <f>IF(H753="","Pending",IF(OR(H753="0",H753="1",H753="2",H753="U"),"Complete","Invalid"))</f>
        <v/>
      </c>
    </row>
    <row r="754" ht="84" customHeight="1">
      <c r="A754" s="43" t="inlineStr">
        <is>
          <t>v2q-015-candidate-17</t>
        </is>
      </c>
      <c r="B754" s="43" t="inlineStr">
        <is>
          <t>v2q-015</t>
        </is>
      </c>
      <c r="C754" s="43" t="inlineStr">
        <is>
          <t>Which initiative helps job-seekers and established craftspeople launch small businesses outside agriculture?</t>
        </is>
      </c>
      <c r="D754" s="43" t="inlineStr">
        <is>
          <t>The Prime Minister's Employment Generation Programme supports new micro-enterprises to create self-employment for traditional artisans, unemployed youth, and other eligible beneficiaries.</t>
        </is>
      </c>
      <c r="E754" s="43" t="inlineStr">
        <is>
          <t>pilot-v2-doc-pmmy-0002-526833661bcb</t>
        </is>
      </c>
      <c r="F754" s="43" t="inlineStr">
        <is>
          <t>Pradhan Mantri Mudra Yojana</t>
        </is>
      </c>
      <c r="G754" s="43" t="inlineStr">
        <is>
          <t>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H754" s="49" t="inlineStr">
        <is>
          <t>0</t>
        </is>
      </c>
      <c r="I754" s="49" t="str"/>
      <c r="J754" s="55">
        <f>INT((ROW()-2)/50)+1</f>
        <v/>
      </c>
      <c r="K754" s="55">
        <f>IF(H754="","Pending",IF(OR(H754="0",H754="1",H754="2",H754="U"),"Complete","Invalid"))</f>
        <v/>
      </c>
    </row>
    <row r="755" ht="84" customHeight="1">
      <c r="A755" s="43" t="inlineStr">
        <is>
          <t>v2q-022-candidate-16</t>
        </is>
      </c>
      <c r="B755" s="43" t="inlineStr">
        <is>
          <t>v2q-022</t>
        </is>
      </c>
      <c r="C755" s="43" t="inlineStr">
        <is>
          <t>Which finance programme relies on Member Lending Institutions to extend assistance to non-corporate micro-enterprises?</t>
        </is>
      </c>
      <c r="D755" s="43" t="inlineStr">
        <is>
          <t>Eligible Member Lending Institutions extend PMMY financial assistance and provide the scheme’s micro-loans to qualifying micro and small enterprises.</t>
        </is>
      </c>
      <c r="E755" s="43" t="inlineStr">
        <is>
          <t>pilot-v2-doc-pm-svanidhi-0001-e06d259b429d</t>
        </is>
      </c>
      <c r="F755" s="43" t="inlineStr">
        <is>
          <t>PM Street Vendor’s AtmaNirbhar Nidhi (PM SVANidhi)</t>
        </is>
      </c>
      <c r="G755" s="43" t="inlineStr">
        <is>
          <t>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is>
      </c>
      <c r="H755" s="49" t="inlineStr">
        <is>
          <t>0</t>
        </is>
      </c>
      <c r="I755" s="49" t="str"/>
      <c r="J755" s="55">
        <f>INT((ROW()-2)/50)+1</f>
        <v/>
      </c>
      <c r="K755" s="55">
        <f>IF(H755="","Pending",IF(OR(H755="0",H755="1",H755="2",H755="U"),"Complete","Invalid"))</f>
        <v/>
      </c>
    </row>
    <row r="756" ht="84" customHeight="1">
      <c r="A756" s="44" t="inlineStr">
        <is>
          <t>v2q-004-candidate-19</t>
        </is>
      </c>
      <c r="B756" s="44" t="inlineStr">
        <is>
          <t>v2q-004</t>
        </is>
      </c>
      <c r="C756" s="44" t="inlineStr">
        <is>
          <t>What is the maximum micro-loan amount stated for PMMY?</t>
        </is>
      </c>
      <c r="D756" s="44" t="inlineStr">
        <is>
          <t>PMMY facilitates micro-credit loans up to ₹20 lakh for eligible income-generating micro-enterprises.</t>
        </is>
      </c>
      <c r="E756" s="44" t="inlineStr">
        <is>
          <t>pilot-v2-doc-apy-0001-add48d27a4a2</t>
        </is>
      </c>
      <c r="F756" s="44" t="inlineStr">
        <is>
          <t>Atal Pension Yojana</t>
        </is>
      </c>
      <c r="G756" s="44" t="inlineStr">
        <is>
          <t>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is>
      </c>
      <c r="H756" s="50" t="inlineStr">
        <is>
          <t>0</t>
        </is>
      </c>
      <c r="I756" s="50" t="str"/>
      <c r="J756" s="56">
        <f>INT((ROW()-2)/50)+1</f>
        <v/>
      </c>
      <c r="K756" s="56">
        <f>IF(H756="","Pending",IF(OR(H756="0",H756="1",H756="2",H756="U"),"Complete","Invalid"))</f>
        <v/>
      </c>
    </row>
  </sheetData>
  <conditionalFormatting sqref="H2:H756">
    <cfRule type="cellIs" priority="1" operator="equal" dxfId="0">
      <formula>"2"</formula>
    </cfRule>
    <cfRule type="cellIs" priority="2" operator="equal" dxfId="1">
      <formula>"1"</formula>
    </cfRule>
    <cfRule type="cellIs" priority="3" operator="equal" dxfId="2">
      <formula>"0"</formula>
    </cfRule>
    <cfRule type="cellIs" priority="4" operator="equal" dxfId="3">
      <formula>"U"</formula>
    </cfRule>
  </conditionalFormatting>
  <conditionalFormatting sqref="K2:K756">
    <cfRule type="containsText" priority="5" operator="containsText" dxfId="2" text="Invalid"/>
  </conditionalFormatting>
  <dataValidations count="1">
    <dataValidation sqref="H2:H756" showDropDown="0" showInputMessage="0" showErrorMessage="0" allowBlank="0" type="list">
      <formula1>"0,1,2,U"</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18" customWidth="1" min="1" max="1"/>
    <col width="85" customWidth="1" min="2" max="2"/>
  </cols>
  <sheetData>
    <row r="1" ht="38" customHeight="1">
      <c r="A1" s="62" t="inlineStr">
        <is>
          <t>Phase 6 Blind Relevance Judging</t>
        </is>
      </c>
      <c r="B1" s="62" t="n"/>
      <c r="C1" s="62" t="n"/>
      <c r="D1" s="62" t="n"/>
      <c r="E1" s="62" t="n"/>
      <c r="F1" s="62" t="n"/>
    </row>
    <row r="3" ht="38" customHeight="1">
      <c r="A3" s="74" t="inlineStr">
        <is>
          <t>Purpose</t>
        </is>
      </c>
      <c r="B3" s="75" t="inlineStr">
        <is>
          <t>Human relevance grading of 755 blinded query–chunk pairs.</t>
        </is>
      </c>
    </row>
    <row r="4" ht="38" customHeight="1">
      <c r="A4" s="76" t="inlineStr">
        <is>
          <t>Grade 2</t>
        </is>
      </c>
      <c r="B4" s="77" t="inlineStr">
        <is>
          <t>Candidate directly supports reference answer.</t>
        </is>
      </c>
    </row>
    <row r="5" ht="38" customHeight="1">
      <c r="A5" s="76" t="inlineStr">
        <is>
          <t>Grade 1</t>
        </is>
      </c>
      <c r="B5" s="77" t="inlineStr">
        <is>
          <t>Candidate gives useful context but is insufficient alone.</t>
        </is>
      </c>
    </row>
    <row r="6" ht="38" customHeight="1">
      <c r="A6" s="76" t="inlineStr">
        <is>
          <t>Grade 0</t>
        </is>
      </c>
      <c r="B6" s="77" t="inlineStr">
        <is>
          <t>Candidate is irrelevant or misleading for question.</t>
        </is>
      </c>
    </row>
    <row r="7" ht="38" customHeight="1">
      <c r="A7" s="76" t="inlineStr">
        <is>
          <t>Grade U</t>
        </is>
      </c>
      <c r="B7" s="77" t="inlineStr">
        <is>
          <t>Unclear; requires later adjudication.</t>
        </is>
      </c>
    </row>
    <row r="8" ht="38" customHeight="1">
      <c r="A8" s="76" t="inlineStr">
        <is>
          <t>Rationale</t>
        </is>
      </c>
      <c r="B8" s="77" t="inlineStr">
        <is>
          <t>Required for U and recommended for difficult or borderline cases.</t>
        </is>
      </c>
    </row>
    <row r="9" ht="38" customHeight="1">
      <c r="A9" s="76" t="inlineStr">
        <is>
          <t>Workflow</t>
        </is>
      </c>
      <c r="B9" s="77" t="inlineStr">
        <is>
          <t>Complete one numbered batch at a time. Use Progress sheet to track completion.</t>
        </is>
      </c>
    </row>
    <row r="10" ht="38" customHeight="1">
      <c r="A10" s="78" t="inlineStr">
        <is>
          <t>Boundary</t>
        </is>
      </c>
      <c r="B10" s="79" t="inlineStr">
        <is>
          <t>Do not inspect sealed provenance, system identity, rank, score, qrels, or metrics while judging.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60" t="inlineStr">
        <is>
          <t>Judging Progress</t>
        </is>
      </c>
      <c r="B1" s="60" t="n"/>
      <c r="C1" s="60" t="n"/>
      <c r="D1" s="60" t="n"/>
      <c r="E1" s="60" t="n"/>
      <c r="F1" s="60" t="n"/>
    </row>
    <row r="3">
      <c r="A3" s="88" t="inlineStr">
        <is>
          <t>Total pairs</t>
        </is>
      </c>
      <c r="B3" s="89" t="n">
        <v>755</v>
      </c>
    </row>
    <row r="4">
      <c r="A4" s="90" t="inlineStr">
        <is>
          <t>Completed</t>
        </is>
      </c>
      <c r="B4" s="91">
        <f>COUNTIF('Judging'!$K$2:$K$756,"Complete")</f>
        <v/>
      </c>
    </row>
    <row r="5">
      <c r="A5" s="90" t="inlineStr">
        <is>
          <t>Pending</t>
        </is>
      </c>
      <c r="B5" s="91">
        <f>COUNTIF('Judging'!$K$2:$K$756,"Pending")</f>
        <v/>
      </c>
    </row>
    <row r="6">
      <c r="A6" s="90" t="inlineStr">
        <is>
          <t>Invalid</t>
        </is>
      </c>
      <c r="B6" s="91">
        <f>COUNTIF('Judging'!$K$2:$K$756,"Invalid")</f>
        <v/>
      </c>
    </row>
    <row r="7">
      <c r="A7" s="92" t="inlineStr">
        <is>
          <t>Completion</t>
        </is>
      </c>
      <c r="B7" s="108">
        <f>B4/B3</f>
        <v/>
      </c>
    </row>
    <row r="10">
      <c r="A10" s="106" t="inlineStr">
        <is>
          <t>Batch</t>
        </is>
      </c>
      <c r="B10" s="106" t="inlineStr">
        <is>
          <t>Rows</t>
        </is>
      </c>
      <c r="C10" s="106" t="inlineStr">
        <is>
          <t>Completed</t>
        </is>
      </c>
      <c r="D10" s="106" t="inlineStr">
        <is>
          <t>Remaining</t>
        </is>
      </c>
    </row>
    <row r="11">
      <c r="A11" s="107" t="n">
        <v>1</v>
      </c>
      <c r="B11" s="107" t="n">
        <v>50</v>
      </c>
      <c r="C11" s="107">
        <f>COUNTIFS('Judging'!$J$2:$J$756,A11,'Judging'!$K$2:$K$756,"Complete")</f>
        <v/>
      </c>
      <c r="D11" s="107">
        <f>B11-C11</f>
        <v/>
      </c>
    </row>
    <row r="12">
      <c r="A12" s="107" t="n">
        <v>2</v>
      </c>
      <c r="B12" s="107" t="n">
        <v>50</v>
      </c>
      <c r="C12" s="107">
        <f>COUNTIFS('Judging'!$J$2:$J$756,A12,'Judging'!$K$2:$K$756,"Complete")</f>
        <v/>
      </c>
      <c r="D12" s="107">
        <f>B12-C12</f>
        <v/>
      </c>
    </row>
    <row r="13">
      <c r="A13" s="107" t="n">
        <v>3</v>
      </c>
      <c r="B13" s="107" t="n">
        <v>50</v>
      </c>
      <c r="C13" s="107">
        <f>COUNTIFS('Judging'!$J$2:$J$756,A13,'Judging'!$K$2:$K$756,"Complete")</f>
        <v/>
      </c>
      <c r="D13" s="107">
        <f>B13-C13</f>
        <v/>
      </c>
    </row>
    <row r="14">
      <c r="A14" s="107" t="n">
        <v>4</v>
      </c>
      <c r="B14" s="107" t="n">
        <v>50</v>
      </c>
      <c r="C14" s="107">
        <f>COUNTIFS('Judging'!$J$2:$J$756,A14,'Judging'!$K$2:$K$756,"Complete")</f>
        <v/>
      </c>
      <c r="D14" s="107">
        <f>B14-C14</f>
        <v/>
      </c>
    </row>
    <row r="15">
      <c r="A15" s="107" t="n">
        <v>5</v>
      </c>
      <c r="B15" s="107" t="n">
        <v>50</v>
      </c>
      <c r="C15" s="107">
        <f>COUNTIFS('Judging'!$J$2:$J$756,A15,'Judging'!$K$2:$K$756,"Complete")</f>
        <v/>
      </c>
      <c r="D15" s="107">
        <f>B15-C15</f>
        <v/>
      </c>
    </row>
    <row r="16">
      <c r="A16" s="107" t="n">
        <v>6</v>
      </c>
      <c r="B16" s="107" t="n">
        <v>50</v>
      </c>
      <c r="C16" s="107">
        <f>COUNTIFS('Judging'!$J$2:$J$756,A16,'Judging'!$K$2:$K$756,"Complete")</f>
        <v/>
      </c>
      <c r="D16" s="107">
        <f>B16-C16</f>
        <v/>
      </c>
    </row>
    <row r="17">
      <c r="A17" s="107" t="n">
        <v>7</v>
      </c>
      <c r="B17" s="107" t="n">
        <v>50</v>
      </c>
      <c r="C17" s="107">
        <f>COUNTIFS('Judging'!$J$2:$J$756,A17,'Judging'!$K$2:$K$756,"Complete")</f>
        <v/>
      </c>
      <c r="D17" s="107">
        <f>B17-C17</f>
        <v/>
      </c>
    </row>
    <row r="18">
      <c r="A18" s="107" t="n">
        <v>8</v>
      </c>
      <c r="B18" s="107" t="n">
        <v>50</v>
      </c>
      <c r="C18" s="107">
        <f>COUNTIFS('Judging'!$J$2:$J$756,A18,'Judging'!$K$2:$K$756,"Complete")</f>
        <v/>
      </c>
      <c r="D18" s="107">
        <f>B18-C18</f>
        <v/>
      </c>
    </row>
    <row r="19">
      <c r="A19" s="107" t="n">
        <v>9</v>
      </c>
      <c r="B19" s="107" t="n">
        <v>50</v>
      </c>
      <c r="C19" s="107">
        <f>COUNTIFS('Judging'!$J$2:$J$756,A19,'Judging'!$K$2:$K$756,"Complete")</f>
        <v/>
      </c>
      <c r="D19" s="107">
        <f>B19-C19</f>
        <v/>
      </c>
    </row>
    <row r="20">
      <c r="A20" s="107" t="n">
        <v>10</v>
      </c>
      <c r="B20" s="107" t="n">
        <v>50</v>
      </c>
      <c r="C20" s="107">
        <f>COUNTIFS('Judging'!$J$2:$J$756,A20,'Judging'!$K$2:$K$756,"Complete")</f>
        <v/>
      </c>
      <c r="D20" s="107">
        <f>B20-C20</f>
        <v/>
      </c>
    </row>
    <row r="21">
      <c r="A21" s="107" t="n">
        <v>11</v>
      </c>
      <c r="B21" s="107" t="n">
        <v>50</v>
      </c>
      <c r="C21" s="107">
        <f>COUNTIFS('Judging'!$J$2:$J$756,A21,'Judging'!$K$2:$K$756,"Complete")</f>
        <v/>
      </c>
      <c r="D21" s="107">
        <f>B21-C21</f>
        <v/>
      </c>
    </row>
    <row r="22">
      <c r="A22" s="107" t="n">
        <v>12</v>
      </c>
      <c r="B22" s="107" t="n">
        <v>50</v>
      </c>
      <c r="C22" s="107">
        <f>COUNTIFS('Judging'!$J$2:$J$756,A22,'Judging'!$K$2:$K$756,"Complete")</f>
        <v/>
      </c>
      <c r="D22" s="107">
        <f>B22-C22</f>
        <v/>
      </c>
    </row>
    <row r="23">
      <c r="A23" s="107" t="n">
        <v>13</v>
      </c>
      <c r="B23" s="107" t="n">
        <v>50</v>
      </c>
      <c r="C23" s="107">
        <f>COUNTIFS('Judging'!$J$2:$J$756,A23,'Judging'!$K$2:$K$756,"Complete")</f>
        <v/>
      </c>
      <c r="D23" s="107">
        <f>B23-C23</f>
        <v/>
      </c>
    </row>
    <row r="24">
      <c r="A24" s="107" t="n">
        <v>14</v>
      </c>
      <c r="B24" s="107" t="n">
        <v>50</v>
      </c>
      <c r="C24" s="107">
        <f>COUNTIFS('Judging'!$J$2:$J$756,A24,'Judging'!$K$2:$K$756,"Complete")</f>
        <v/>
      </c>
      <c r="D24" s="107">
        <f>B24-C24</f>
        <v/>
      </c>
    </row>
    <row r="25">
      <c r="A25" s="107" t="n">
        <v>15</v>
      </c>
      <c r="B25" s="107" t="n">
        <v>50</v>
      </c>
      <c r="C25" s="107">
        <f>COUNTIFS('Judging'!$J$2:$J$756,A25,'Judging'!$K$2:$K$756,"Complete")</f>
        <v/>
      </c>
      <c r="D25" s="107">
        <f>B25-C25</f>
        <v/>
      </c>
    </row>
    <row r="26">
      <c r="A26" s="107" t="n">
        <v>16</v>
      </c>
      <c r="B26" s="107" t="n">
        <v>5</v>
      </c>
      <c r="C26" s="107">
        <f>COUNTIFS('Judging'!$J$2:$J$756,A26,'Judging'!$K$2:$K$756,"Complete")</f>
        <v/>
      </c>
      <c r="D26" s="107">
        <f>B26-C26</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2026-07-26T19:49:11Z</dcterms:created>
  <dcterms:modified xmlns:dcterms="http://purl.org/dc/terms/" xmlns:xsi="http://www.w3.org/2001/XMLSchema-instance" xsi:type="dcterms:W3CDTF">2026-07-26T19:49:11Z</dcterms:modified>
</cp:coreProperties>
</file>